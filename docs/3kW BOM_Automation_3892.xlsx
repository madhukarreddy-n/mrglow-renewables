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hesh\Desktop\BOM Optimization\"/>
    </mc:Choice>
  </mc:AlternateContent>
  <xr:revisionPtr revIDLastSave="0" documentId="13_ncr:1_{77BF2A52-287D-4770-8A03-2F646C3CE4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OM Example " sheetId="3" r:id="rId1"/>
    <sheet name="Bill of materials " sheetId="9" r:id="rId2"/>
  </sheets>
  <definedNames>
    <definedName name="_ruv1">#REF!</definedName>
    <definedName name="abc">#REF!</definedName>
    <definedName name="Beg_Bal">#REF!</definedName>
    <definedName name="Cum_Int">#REF!</definedName>
    <definedName name="Data">#REF!</definedName>
    <definedName name="Destination">#REF!</definedName>
    <definedName name="East_Only">#REF!</definedName>
    <definedName name="ecoEnergy">#REF!</definedName>
    <definedName name="Extra_Pay">#REF!</definedName>
    <definedName name="ffr">#REF!</definedName>
    <definedName name="Full_Print">#REF!</definedName>
    <definedName name="Ground">#REF!</definedName>
    <definedName name="Header_Row">#REF!</definedName>
    <definedName name="Int">#REF!</definedName>
    <definedName name="meter">#REF!</definedName>
    <definedName name="MSP">#REF!</definedName>
    <definedName name="MSPA">#REF!</definedName>
    <definedName name="NoBlanks2">#REF!</definedName>
    <definedName name="NoBlanksRange2">#REF!</definedName>
    <definedName name="Num_Pmt_Per_Year">#REF!</definedName>
    <definedName name="Pay_Date">#REF!</definedName>
    <definedName name="Pay_Num">#REF!</definedName>
    <definedName name="Princ">#REF!</definedName>
    <definedName name="Rate_per_Kwh">#REF!</definedName>
    <definedName name="Region">#REF!</definedName>
    <definedName name="Residential">#REF!</definedName>
    <definedName name="Review">#REF!</definedName>
    <definedName name="Roof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egment">#REF!</definedName>
    <definedName name="Solar">#REF!</definedName>
    <definedName name="solar1">#REF!</definedName>
    <definedName name="SOLAR3">#REF!</definedName>
    <definedName name="TeamE">#REF!</definedName>
    <definedName name="Total_Interest">#REF!</definedName>
    <definedName name="Total_Pay">#REF!</definedName>
    <definedName name="Type">#REF!</definedName>
    <definedName name="Type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iPmUhmrr3kHHRNJP/tuX1EA4i3g=="/>
    </ext>
  </extLst>
</workbook>
</file>

<file path=xl/calcChain.xml><?xml version="1.0" encoding="utf-8"?>
<calcChain xmlns="http://schemas.openxmlformats.org/spreadsheetml/2006/main">
  <c r="H66" i="9" l="1"/>
  <c r="I66" i="9" s="1"/>
  <c r="J66" i="9" s="1"/>
  <c r="H65" i="9"/>
  <c r="H64" i="9"/>
  <c r="F63" i="9"/>
  <c r="H63" i="9" s="1"/>
  <c r="H62" i="9"/>
  <c r="H61" i="9"/>
  <c r="H60" i="9"/>
  <c r="H59" i="9"/>
  <c r="H58" i="9"/>
  <c r="H57" i="9"/>
  <c r="H56" i="9"/>
  <c r="H55" i="9"/>
  <c r="H54" i="9"/>
  <c r="H53" i="9"/>
  <c r="H52" i="9"/>
  <c r="H51" i="9"/>
  <c r="I51" i="9" s="1"/>
  <c r="J51" i="9" s="1"/>
  <c r="H50" i="9"/>
  <c r="I50" i="9" s="1"/>
  <c r="J50" i="9" s="1"/>
  <c r="H49" i="9"/>
  <c r="H48" i="9"/>
  <c r="H47" i="9"/>
  <c r="H46" i="9"/>
  <c r="H45" i="9"/>
  <c r="H44" i="9"/>
  <c r="H42" i="9"/>
  <c r="H41" i="9"/>
  <c r="H40" i="9"/>
  <c r="H43" i="9"/>
  <c r="H39" i="9"/>
  <c r="H38" i="9"/>
  <c r="H37" i="9"/>
  <c r="H36" i="9"/>
  <c r="H35" i="9"/>
  <c r="H34" i="9"/>
  <c r="I34" i="9" s="1"/>
  <c r="J34" i="9" s="1"/>
  <c r="H33" i="9"/>
  <c r="H32" i="9"/>
  <c r="I32" i="9" s="1"/>
  <c r="H31" i="9"/>
  <c r="H30" i="9"/>
  <c r="H29" i="9"/>
  <c r="H23" i="9"/>
  <c r="H13" i="9"/>
  <c r="H3" i="9"/>
  <c r="H28" i="9"/>
  <c r="H27" i="9"/>
  <c r="H26" i="9"/>
  <c r="H25" i="9"/>
  <c r="H24" i="9"/>
  <c r="H22" i="9"/>
  <c r="I22" i="9" s="1"/>
  <c r="J22" i="9" s="1"/>
  <c r="H21" i="9"/>
  <c r="H20" i="9"/>
  <c r="H12" i="9"/>
  <c r="I12" i="9" s="1"/>
  <c r="J12" i="9" s="1"/>
  <c r="H14" i="9"/>
  <c r="I14" i="9" s="1"/>
  <c r="J14" i="9" s="1"/>
  <c r="H15" i="9"/>
  <c r="I15" i="9" s="1"/>
  <c r="J15" i="9" s="1"/>
  <c r="H16" i="9"/>
  <c r="I16" i="9" s="1"/>
  <c r="J16" i="9" s="1"/>
  <c r="H17" i="9"/>
  <c r="I17" i="9" s="1"/>
  <c r="J17" i="9" s="1"/>
  <c r="H18" i="9"/>
  <c r="I18" i="9" s="1"/>
  <c r="J18" i="9" s="1"/>
  <c r="H19" i="9"/>
  <c r="I19" i="9" s="1"/>
  <c r="J19" i="9" s="1"/>
  <c r="H10" i="9"/>
  <c r="I10" i="9" s="1"/>
  <c r="J10" i="9" s="1"/>
  <c r="H9" i="9"/>
  <c r="H8" i="9"/>
  <c r="H4" i="9"/>
  <c r="I4" i="9" s="1"/>
  <c r="J4" i="9" s="1"/>
  <c r="H5" i="9"/>
  <c r="I5" i="9" s="1"/>
  <c r="J5" i="9" s="1"/>
  <c r="H6" i="9"/>
  <c r="I6" i="9" s="1"/>
  <c r="J6" i="9" s="1"/>
  <c r="H7" i="9"/>
  <c r="I7" i="9" s="1"/>
  <c r="J7" i="9" s="1"/>
  <c r="H11" i="9"/>
  <c r="J40" i="3"/>
  <c r="J39" i="3"/>
  <c r="J13" i="3"/>
  <c r="J14" i="3"/>
  <c r="J15" i="3"/>
  <c r="J16" i="3"/>
  <c r="J17" i="3"/>
  <c r="J18" i="3"/>
  <c r="J20" i="3"/>
  <c r="J35" i="3"/>
  <c r="J36" i="3"/>
  <c r="I18" i="3"/>
  <c r="I19" i="3"/>
  <c r="J19" i="3" s="1"/>
  <c r="I20" i="3"/>
  <c r="I21" i="3"/>
  <c r="J21" i="3" s="1"/>
  <c r="I24" i="3"/>
  <c r="J24" i="3" s="1"/>
  <c r="H16" i="3"/>
  <c r="I16" i="3" s="1"/>
  <c r="H15" i="3"/>
  <c r="I15" i="3" s="1"/>
  <c r="H36" i="3"/>
  <c r="I36" i="3" s="1"/>
  <c r="H35" i="3"/>
  <c r="I35" i="3" s="1"/>
  <c r="H34" i="3"/>
  <c r="I34" i="3" s="1"/>
  <c r="J34" i="3" s="1"/>
  <c r="H32" i="3"/>
  <c r="I32" i="3" s="1"/>
  <c r="G31" i="3"/>
  <c r="H31" i="3" s="1"/>
  <c r="I31" i="3" s="1"/>
  <c r="H6" i="3"/>
  <c r="I6" i="3" s="1"/>
  <c r="H5" i="3"/>
  <c r="I5" i="3" s="1"/>
  <c r="H4" i="3"/>
  <c r="I4" i="3" s="1"/>
  <c r="H33" i="3"/>
  <c r="I33" i="3" s="1"/>
  <c r="F30" i="3"/>
  <c r="H30" i="3" s="1"/>
  <c r="I30" i="3" s="1"/>
  <c r="H29" i="3"/>
  <c r="I29" i="3" s="1"/>
  <c r="H28" i="3"/>
  <c r="I28" i="3" s="1"/>
  <c r="H27" i="3"/>
  <c r="I27" i="3" s="1"/>
  <c r="H26" i="3"/>
  <c r="H25" i="3"/>
  <c r="H24" i="3"/>
  <c r="H23" i="3"/>
  <c r="H22" i="3"/>
  <c r="H21" i="3"/>
  <c r="H20" i="3"/>
  <c r="H19" i="3"/>
  <c r="H18" i="3"/>
  <c r="H17" i="3"/>
  <c r="I17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7" i="3"/>
  <c r="I7" i="3" s="1"/>
  <c r="J60" i="9" l="1"/>
  <c r="I64" i="9"/>
  <c r="J64" i="9" s="1"/>
  <c r="J58" i="9"/>
  <c r="J59" i="9"/>
  <c r="J61" i="9"/>
  <c r="J62" i="9"/>
  <c r="I63" i="9"/>
  <c r="J63" i="9" s="1"/>
  <c r="I58" i="9"/>
  <c r="I59" i="9"/>
  <c r="I65" i="9"/>
  <c r="J65" i="9" s="1"/>
  <c r="I60" i="9"/>
  <c r="I61" i="9"/>
  <c r="I62" i="9"/>
  <c r="J55" i="9"/>
  <c r="J56" i="9"/>
  <c r="J57" i="9"/>
  <c r="I52" i="9"/>
  <c r="J52" i="9" s="1"/>
  <c r="I53" i="9"/>
  <c r="J53" i="9" s="1"/>
  <c r="I54" i="9"/>
  <c r="J54" i="9" s="1"/>
  <c r="I55" i="9"/>
  <c r="I56" i="9"/>
  <c r="I57" i="9"/>
  <c r="I47" i="9"/>
  <c r="J47" i="9" s="1"/>
  <c r="I48" i="9"/>
  <c r="J48" i="9" s="1"/>
  <c r="I49" i="9"/>
  <c r="J49" i="9" s="1"/>
  <c r="I46" i="9"/>
  <c r="J46" i="9" s="1"/>
  <c r="I44" i="9"/>
  <c r="J44" i="9" s="1"/>
  <c r="I45" i="9"/>
  <c r="J45" i="9" s="1"/>
  <c r="I42" i="9"/>
  <c r="J42" i="9" s="1"/>
  <c r="I41" i="9"/>
  <c r="J41" i="9" s="1"/>
  <c r="I40" i="9"/>
  <c r="J40" i="9" s="1"/>
  <c r="I33" i="9"/>
  <c r="J33" i="9" s="1"/>
  <c r="J32" i="9"/>
  <c r="I39" i="9"/>
  <c r="J39" i="9" s="1"/>
  <c r="I43" i="9"/>
  <c r="J43" i="9" s="1"/>
  <c r="I38" i="9"/>
  <c r="J38" i="9" s="1"/>
  <c r="I37" i="9"/>
  <c r="J37" i="9" s="1"/>
  <c r="I36" i="9"/>
  <c r="J36" i="9" s="1"/>
  <c r="I35" i="9"/>
  <c r="J35" i="9" s="1"/>
  <c r="I31" i="9"/>
  <c r="J31" i="9" s="1"/>
  <c r="I30" i="9"/>
  <c r="J30" i="9" s="1"/>
  <c r="I28" i="9"/>
  <c r="J28" i="9" s="1"/>
  <c r="I3" i="9"/>
  <c r="J3" i="9" s="1"/>
  <c r="I13" i="9"/>
  <c r="J13" i="9" s="1"/>
  <c r="I23" i="9"/>
  <c r="J23" i="9" s="1"/>
  <c r="I29" i="9"/>
  <c r="J29" i="9" s="1"/>
  <c r="I24" i="9"/>
  <c r="J24" i="9" s="1"/>
  <c r="I25" i="9"/>
  <c r="J25" i="9" s="1"/>
  <c r="I26" i="9"/>
  <c r="J26" i="9" s="1"/>
  <c r="I20" i="9"/>
  <c r="J20" i="9" s="1"/>
  <c r="I27" i="9"/>
  <c r="J27" i="9" s="1"/>
  <c r="I21" i="9"/>
  <c r="J21" i="9" s="1"/>
  <c r="I9" i="9"/>
  <c r="J9" i="9" s="1"/>
  <c r="I8" i="9"/>
  <c r="J8" i="9" s="1"/>
  <c r="I11" i="9"/>
  <c r="J11" i="9" s="1"/>
  <c r="J22" i="3"/>
  <c r="J32" i="3"/>
  <c r="J33" i="3"/>
  <c r="J12" i="3"/>
  <c r="J31" i="3"/>
  <c r="J11" i="3"/>
  <c r="J30" i="3"/>
  <c r="J10" i="3"/>
  <c r="J29" i="3"/>
  <c r="J9" i="3"/>
  <c r="J28" i="3"/>
  <c r="J8" i="3"/>
  <c r="J27" i="3"/>
  <c r="J7" i="3"/>
  <c r="I26" i="3"/>
  <c r="J26" i="3" s="1"/>
  <c r="J6" i="3"/>
  <c r="I25" i="3"/>
  <c r="J25" i="3" s="1"/>
  <c r="J5" i="3"/>
  <c r="I23" i="3"/>
  <c r="J23" i="3" s="1"/>
  <c r="I22" i="3"/>
  <c r="J4" i="3"/>
  <c r="H37" i="3"/>
  <c r="I37" i="3" l="1"/>
  <c r="J37" i="3"/>
  <c r="J38" i="3" l="1"/>
</calcChain>
</file>

<file path=xl/sharedStrings.xml><?xml version="1.0" encoding="utf-8"?>
<sst xmlns="http://schemas.openxmlformats.org/spreadsheetml/2006/main" count="383" uniqueCount="126">
  <si>
    <t>S No.</t>
  </si>
  <si>
    <t>Category</t>
  </si>
  <si>
    <t>Item Description</t>
  </si>
  <si>
    <t>Make</t>
  </si>
  <si>
    <t>Unit</t>
  </si>
  <si>
    <t>Unit Price</t>
  </si>
  <si>
    <t>QTY</t>
  </si>
  <si>
    <t xml:space="preserve">Total Price </t>
  </si>
  <si>
    <t>ACDB</t>
  </si>
  <si>
    <t>AC Distribution Box b/w inverter &amp; Client LT
 (Field ACDB with following (1-6 kW))
-  One I/C - 1X32Amp 10 kA  (2 pole) - MCB 
- SPD 2P Type -2                                                                                  
- Plate mounted 
- IP 67 Outdoor Polycarbonate  Enclosure</t>
  </si>
  <si>
    <t xml:space="preserve">Polycab </t>
  </si>
  <si>
    <t>Nos</t>
  </si>
  <si>
    <t>DCDB</t>
  </si>
  <si>
    <t xml:space="preserve">DCDB Specifications:   (1-6kW)
- I/C &amp; O/C 32A DC MCB (1 in 1 out)
- I/C &amp; O/C Terminal Block negative
- DC SPD type 2 - 600V
- Plate mounted 
- PC enclousre with IP67 protection
</t>
  </si>
  <si>
    <t>DC Cable</t>
  </si>
  <si>
    <t>1C x 4 Sq.mm , Cu. PV, 1.1 kV, XLPO Cable for solar module to inverter(red &amp; Black) - DC cable</t>
  </si>
  <si>
    <t>Mtr</t>
  </si>
  <si>
    <t>Solar MC4 Connectors (Male &amp; Female)</t>
  </si>
  <si>
    <t>Reputed Make</t>
  </si>
  <si>
    <t>Pair</t>
  </si>
  <si>
    <t>AC Cables</t>
  </si>
  <si>
    <t>3C, Cu. Flexible cable 4 Sqmm</t>
  </si>
  <si>
    <t>Earthing Cables</t>
  </si>
  <si>
    <t>1C x 6 Sq.mm ,flexible copper cable (green) - Earthing</t>
  </si>
  <si>
    <t>Earthing</t>
  </si>
  <si>
    <t>1m Copper bonded electrode, 14mm dia, 100 microns</t>
  </si>
  <si>
    <t xml:space="preserve">Truepower </t>
  </si>
  <si>
    <t xml:space="preserve">Stainless Steel Terminal Strip – 4 Poles </t>
  </si>
  <si>
    <t xml:space="preserve">Excel Earthings </t>
  </si>
  <si>
    <t>LA</t>
  </si>
  <si>
    <t xml:space="preserve">Conventional Type LA, 1m high Copper bonded rod  with multi spike </t>
  </si>
  <si>
    <t>Lugs</t>
  </si>
  <si>
    <t>SS304 Bolt M4X25, Cheese Head fasteners (N+B+2PW+1SW) for module to module earthing</t>
  </si>
  <si>
    <t>Ring type Lug, M4 for  6 sq.mm Cu, TYPE 7083</t>
  </si>
  <si>
    <t>Reputed make</t>
  </si>
  <si>
    <t>6 Sqmm Cu. Ring Type Lug</t>
  </si>
  <si>
    <t>4 sq.mm Cu. Cable pin type insulated lugs for Inv, DCDB&amp;ACDB- Rred, Black, Green colour</t>
  </si>
  <si>
    <t xml:space="preserve">6 Sqmm Cu. Ring type lug 10mm hole dia  for Structure earthing </t>
  </si>
  <si>
    <t xml:space="preserve">Cables ties </t>
  </si>
  <si>
    <t>UV protected Cable ties for dressings 300mm</t>
  </si>
  <si>
    <t>Pkt</t>
  </si>
  <si>
    <t xml:space="preserve">Cable tray </t>
  </si>
  <si>
    <t xml:space="preserve">PVC Cable tray 45*45*1.2 mm </t>
  </si>
  <si>
    <t>Insulation Tape</t>
  </si>
  <si>
    <t>Tape for 1-phase: Red, Black, Green</t>
  </si>
  <si>
    <t xml:space="preserve">Fybros </t>
  </si>
  <si>
    <t xml:space="preserve">SS-M5X20 CSK type fastner * type </t>
  </si>
  <si>
    <t xml:space="preserve">Nos </t>
  </si>
  <si>
    <t xml:space="preserve">SS-M6X20mm Chease head fastners with 2washers </t>
  </si>
  <si>
    <t xml:space="preserve">PVC Saddles for conduit pipes - 50nos pack </t>
  </si>
  <si>
    <t xml:space="preserve">Pkt </t>
  </si>
  <si>
    <t>Label &amp; print</t>
  </si>
  <si>
    <t>"Premier" stickers on ACDB &amp; DCDB, "QC approved" on power unit &amp; Installation manual hard copy</t>
  </si>
  <si>
    <t xml:space="preserve"> Total Price </t>
  </si>
  <si>
    <t>2C, Cu. Flexible cable 4 Sqmm</t>
  </si>
  <si>
    <t>6 Sqmm Cu. Ring Twin type lugs</t>
  </si>
  <si>
    <t>Fixing Accessories</t>
  </si>
  <si>
    <t xml:space="preserve">Remarks </t>
  </si>
  <si>
    <t xml:space="preserve">TopCon Bi-facial 550-630Wp Panels </t>
  </si>
  <si>
    <t xml:space="preserve">Modules </t>
  </si>
  <si>
    <t xml:space="preserve">Premier </t>
  </si>
  <si>
    <t>INVERTER</t>
  </si>
  <si>
    <t xml:space="preserve">3kW Single phase ongrid inverter </t>
  </si>
  <si>
    <t xml:space="preserve">Sungrow </t>
  </si>
  <si>
    <t xml:space="preserve">MMS </t>
  </si>
  <si>
    <t>3kW 6ft height structure HDGI Columns</t>
  </si>
  <si>
    <t xml:space="preserve">Conduit </t>
  </si>
  <si>
    <t xml:space="preserve">UPVC Pipe for cable routing </t>
  </si>
  <si>
    <t xml:space="preserve">T's, Elbows, couplers </t>
  </si>
  <si>
    <t xml:space="preserve">Set </t>
  </si>
  <si>
    <t xml:space="preserve">Transporatation </t>
  </si>
  <si>
    <t>Transportation of the material</t>
  </si>
  <si>
    <t xml:space="preserve">Logistics </t>
  </si>
  <si>
    <t xml:space="preserve">I&amp;C Cost </t>
  </si>
  <si>
    <t xml:space="preserve">Cost for material lifting and installation </t>
  </si>
  <si>
    <t xml:space="preserve">I&amp;C </t>
  </si>
  <si>
    <t xml:space="preserve">Overheads </t>
  </si>
  <si>
    <t>-</t>
  </si>
  <si>
    <t xml:space="preserve">3kW Solar Plant BOM </t>
  </si>
  <si>
    <t>BOM_3kW</t>
  </si>
  <si>
    <t xml:space="preserve">Gst </t>
  </si>
  <si>
    <t xml:space="preserve">Earthpit chambers FRP </t>
  </si>
  <si>
    <t xml:space="preserve">Earthing chemical compound </t>
  </si>
  <si>
    <t>Price with GST</t>
  </si>
  <si>
    <t xml:space="preserve">Overheads and misc charges </t>
  </si>
  <si>
    <t>Margin 20%</t>
  </si>
  <si>
    <t>Margin 25%</t>
  </si>
  <si>
    <t>Margin 32%</t>
  </si>
  <si>
    <t xml:space="preserve">Base price in Quotation for 3kW </t>
  </si>
  <si>
    <t>Default price in quotation for 3kW</t>
  </si>
  <si>
    <t xml:space="preserve">Discounted price in Quotation for 3kW </t>
  </si>
  <si>
    <t>Unit Price/Wp</t>
  </si>
  <si>
    <t xml:space="preserve">Adani </t>
  </si>
  <si>
    <t>Renewsys</t>
  </si>
  <si>
    <t>Renew</t>
  </si>
  <si>
    <t xml:space="preserve">Gowtham Solar </t>
  </si>
  <si>
    <t xml:space="preserve">Vikram solar </t>
  </si>
  <si>
    <t xml:space="preserve">Waaree </t>
  </si>
  <si>
    <t xml:space="preserve">TATA POWER </t>
  </si>
  <si>
    <t>Wp</t>
  </si>
  <si>
    <t xml:space="preserve">Calculation should be Wp*28rs and then add gst of 5% to total price it has to give total price. Example 3000Wp *28 rs = 84000( Modules can be 550 to 630Wp of each panel. </t>
  </si>
  <si>
    <t>Growatt</t>
  </si>
  <si>
    <t xml:space="preserve">Solis </t>
  </si>
  <si>
    <t xml:space="preserve">Goodwee </t>
  </si>
  <si>
    <t xml:space="preserve">Luminous </t>
  </si>
  <si>
    <t xml:space="preserve">Havells </t>
  </si>
  <si>
    <t xml:space="preserve">Selec </t>
  </si>
  <si>
    <t>STRING INVERTER</t>
  </si>
  <si>
    <t>Deye</t>
  </si>
  <si>
    <t xml:space="preserve">Should get all brand options in dropdown If I select the capacity and brand it has to show the price based on the capacity and brand. Need a option to update the price for all options and add new material with the brand vendor name and their price </t>
  </si>
  <si>
    <t xml:space="preserve">5kW Single phase ongrid inverter </t>
  </si>
  <si>
    <t>5kW 6ft height structure HDGI Columns</t>
  </si>
  <si>
    <t>2kW 6ft height structure HDGI Columns</t>
  </si>
  <si>
    <t xml:space="preserve">Need a option to update the price for all options and add new material with the brand vendor name and their price </t>
  </si>
  <si>
    <t xml:space="preserve">Standard for all single phase 1-5kW </t>
  </si>
  <si>
    <t>ACDB/DCDB</t>
  </si>
  <si>
    <t xml:space="preserve">Customised ACDB AND DCDB 
</t>
  </si>
  <si>
    <t xml:space="preserve">Reputed Make </t>
  </si>
  <si>
    <t>Need a option for customised pricing to enter and defualt gst of 18%.</t>
  </si>
  <si>
    <t xml:space="preserve">DC Cable </t>
  </si>
  <si>
    <t>Waacab</t>
  </si>
  <si>
    <t xml:space="preserve">AC Cable </t>
  </si>
  <si>
    <t>Earthing chemical compound  15kgs</t>
  </si>
  <si>
    <t xml:space="preserve">Need an option for changing the Brand to Reputed Make and option to edit price gst has to be 18% default for all except inverter and module </t>
  </si>
  <si>
    <t xml:space="preserve">Option to add price </t>
  </si>
  <si>
    <t xml:space="preserve">Add an option below with blank where I can enter all required with specs, make, unit, qty, price gst total calculation should be automatic. This is for customised options in proposal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</si>
</sst>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[$₹-4009]\ * #,##0.00_ ;_ [$₹-4009]\ * \-#,##0.00_ ;_ [$₹-4009]\ * &quot;-&quot;??_ ;_ @_ "/>
  </numFmts>
  <fonts count="19" x14ac:knownFonts="1">
    <font>
      <sz val="11"/>
      <color theme="1"/>
      <name val="Arial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4"/>
      <name val="Times New Roman"/>
      <family val="1"/>
    </font>
    <font>
      <b/>
      <sz val="14"/>
      <color theme="1" tint="-0.499984740745262"/>
      <name val="Times New Roman"/>
      <family val="1"/>
    </font>
    <font>
      <sz val="14"/>
      <color theme="1" tint="-0.499984740745262"/>
      <name val="Times New Roman"/>
      <family val="1"/>
    </font>
    <font>
      <sz val="16"/>
      <color theme="1"/>
      <name val="Times New Roman"/>
      <family val="1"/>
    </font>
    <font>
      <sz val="16"/>
      <color rgb="FF233A44"/>
      <name val="Times New Roman"/>
      <family val="1"/>
    </font>
    <font>
      <sz val="16"/>
      <color theme="1" tint="-0.499984740745262"/>
      <name val="Times New Roman"/>
      <family val="1"/>
    </font>
    <font>
      <sz val="16"/>
      <name val="Times New Roman"/>
      <family val="1"/>
    </font>
    <font>
      <b/>
      <sz val="22"/>
      <color rgb="FF00A037"/>
      <name val="Times New Roman"/>
      <family val="1"/>
    </font>
    <font>
      <sz val="11"/>
      <color theme="1"/>
      <name val="Arial"/>
      <family val="2"/>
    </font>
    <font>
      <b/>
      <sz val="18"/>
      <color rgb="FFFF0000"/>
      <name val="Times New Roman"/>
      <family val="1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15FFE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9352"/>
        <bgColor rgb="FF15FFE3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164" fontId="8" fillId="4" borderId="1" xfId="0" applyNumberFormat="1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5" fontId="8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vertical="center"/>
    </xf>
    <xf numFmtId="164" fontId="3" fillId="6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11" fillId="0" borderId="1" xfId="0" applyFont="1" applyBorder="1"/>
    <xf numFmtId="0" fontId="2" fillId="0" borderId="5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164" fontId="3" fillId="6" borderId="3" xfId="0" applyNumberFormat="1" applyFont="1" applyFill="1" applyBorder="1" applyAlignment="1">
      <alignment horizontal="center" vertical="center" wrapText="1"/>
    </xf>
    <xf numFmtId="164" fontId="8" fillId="4" borderId="4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165" fontId="14" fillId="5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165" fontId="3" fillId="4" borderId="4" xfId="0" applyNumberFormat="1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164" fontId="3" fillId="6" borderId="1" xfId="0" applyNumberFormat="1" applyFont="1" applyFill="1" applyBorder="1" applyAlignment="1">
      <alignment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7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0" fillId="0" borderId="11" xfId="0" applyBorder="1" applyAlignment="1">
      <alignment horizontal="right" vertical="center"/>
    </xf>
    <xf numFmtId="0" fontId="0" fillId="0" borderId="0" xfId="0" applyAlignment="1">
      <alignment horizontal="right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9352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233A44"/>
      </a:dk1>
      <a:lt1>
        <a:srgbClr val="FFFFFF"/>
      </a:lt1>
      <a:dk2>
        <a:srgbClr val="233A44"/>
      </a:dk2>
      <a:lt2>
        <a:srgbClr val="FFFFFF"/>
      </a:lt2>
      <a:accent1>
        <a:srgbClr val="00796B"/>
      </a:accent1>
      <a:accent2>
        <a:srgbClr val="BF8659"/>
      </a:accent2>
      <a:accent3>
        <a:srgbClr val="00435E"/>
      </a:accent3>
      <a:accent4>
        <a:srgbClr val="D9563F"/>
      </a:accent4>
      <a:accent5>
        <a:srgbClr val="E7BB63"/>
      </a:accent5>
      <a:accent6>
        <a:srgbClr val="144CF5"/>
      </a:accent6>
      <a:hlink>
        <a:srgbClr val="3D4594"/>
      </a:hlink>
      <a:folHlink>
        <a:srgbClr val="3D4594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024D-B9A3-44EC-8AC3-4841944B7875}">
  <dimension ref="A1:J44"/>
  <sheetViews>
    <sheetView topLeftCell="A33" zoomScale="85" zoomScaleNormal="85" workbookViewId="0">
      <selection activeCell="B34" sqref="B34:E36"/>
    </sheetView>
  </sheetViews>
  <sheetFormatPr defaultRowHeight="14.4" x14ac:dyDescent="0.3"/>
  <cols>
    <col min="1" max="1" width="7.3984375" bestFit="1" customWidth="1"/>
    <col min="2" max="2" width="14.69921875" customWidth="1"/>
    <col min="3" max="3" width="48.09765625" customWidth="1"/>
    <col min="4" max="4" width="21.09765625" customWidth="1"/>
    <col min="5" max="5" width="11.19921875" customWidth="1"/>
    <col min="6" max="6" width="16.796875" customWidth="1"/>
    <col min="7" max="7" width="14.5" customWidth="1"/>
    <col min="8" max="8" width="21.69921875" customWidth="1"/>
    <col min="9" max="9" width="20.796875" customWidth="1"/>
    <col min="10" max="10" width="28.09765625" customWidth="1"/>
    <col min="11" max="11" width="12.09765625" customWidth="1"/>
  </cols>
  <sheetData>
    <row r="1" spans="1:10" ht="27.6" x14ac:dyDescent="0.3">
      <c r="A1" s="33" t="s">
        <v>78</v>
      </c>
      <c r="B1" s="37"/>
      <c r="C1" s="37"/>
      <c r="D1" s="37"/>
      <c r="E1" s="37"/>
      <c r="F1" s="34"/>
      <c r="G1" s="45" t="s">
        <v>79</v>
      </c>
      <c r="H1" s="46"/>
      <c r="I1" s="46"/>
      <c r="J1" s="46"/>
    </row>
    <row r="2" spans="1:10" x14ac:dyDescent="0.3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9" t="s">
        <v>5</v>
      </c>
      <c r="G2" s="35" t="s">
        <v>6</v>
      </c>
      <c r="H2" s="36" t="s">
        <v>7</v>
      </c>
      <c r="I2" s="36" t="s">
        <v>80</v>
      </c>
      <c r="J2" s="36" t="s">
        <v>83</v>
      </c>
    </row>
    <row r="3" spans="1:10" x14ac:dyDescent="0.3">
      <c r="A3" s="25"/>
      <c r="B3" s="30"/>
      <c r="C3" s="25"/>
      <c r="D3" s="25"/>
      <c r="E3" s="25"/>
      <c r="F3" s="29"/>
      <c r="G3" s="35"/>
      <c r="H3" s="36"/>
      <c r="I3" s="36"/>
      <c r="J3" s="36"/>
    </row>
    <row r="4" spans="1:10" ht="21" x14ac:dyDescent="0.4">
      <c r="A4" s="2">
        <v>1</v>
      </c>
      <c r="B4" s="2" t="s">
        <v>59</v>
      </c>
      <c r="C4" s="20" t="s">
        <v>58</v>
      </c>
      <c r="D4" s="20" t="s">
        <v>60</v>
      </c>
      <c r="E4" s="20" t="s">
        <v>47</v>
      </c>
      <c r="F4" s="18">
        <v>15600</v>
      </c>
      <c r="G4" s="12">
        <v>6</v>
      </c>
      <c r="H4" s="16">
        <f>G4*F4</f>
        <v>93600</v>
      </c>
      <c r="I4" s="16">
        <f>H4*0.05</f>
        <v>4680</v>
      </c>
      <c r="J4" s="16">
        <f>H4+I4</f>
        <v>98280</v>
      </c>
    </row>
    <row r="5" spans="1:10" ht="21" x14ac:dyDescent="0.4">
      <c r="A5" s="2">
        <v>2</v>
      </c>
      <c r="B5" s="2" t="s">
        <v>61</v>
      </c>
      <c r="C5" s="20" t="s">
        <v>62</v>
      </c>
      <c r="D5" s="20" t="s">
        <v>63</v>
      </c>
      <c r="E5" s="20" t="s">
        <v>47</v>
      </c>
      <c r="F5" s="18">
        <v>16000</v>
      </c>
      <c r="G5" s="12">
        <v>1</v>
      </c>
      <c r="H5" s="16">
        <f>G5*F5</f>
        <v>16000</v>
      </c>
      <c r="I5" s="16">
        <f>H5*0.05</f>
        <v>800</v>
      </c>
      <c r="J5" s="16">
        <f t="shared" ref="J5:J36" si="0">H5+I5</f>
        <v>16800</v>
      </c>
    </row>
    <row r="6" spans="1:10" ht="21" x14ac:dyDescent="0.4">
      <c r="A6" s="2">
        <v>3</v>
      </c>
      <c r="B6" s="2" t="s">
        <v>64</v>
      </c>
      <c r="C6" s="20" t="s">
        <v>65</v>
      </c>
      <c r="D6" s="20" t="s">
        <v>18</v>
      </c>
      <c r="E6" s="20" t="s">
        <v>47</v>
      </c>
      <c r="F6" s="18">
        <v>14950</v>
      </c>
      <c r="G6" s="12">
        <v>1</v>
      </c>
      <c r="H6" s="16">
        <f>G6*F6</f>
        <v>14950</v>
      </c>
      <c r="I6" s="16">
        <f>H6*0.18</f>
        <v>2691</v>
      </c>
      <c r="J6" s="16">
        <f t="shared" si="0"/>
        <v>17641</v>
      </c>
    </row>
    <row r="7" spans="1:10" ht="108" x14ac:dyDescent="0.3">
      <c r="A7" s="2">
        <v>3</v>
      </c>
      <c r="B7" s="2" t="s">
        <v>8</v>
      </c>
      <c r="C7" s="8" t="s">
        <v>9</v>
      </c>
      <c r="D7" s="9" t="s">
        <v>10</v>
      </c>
      <c r="E7" s="9" t="s">
        <v>11</v>
      </c>
      <c r="F7" s="18">
        <v>1200</v>
      </c>
      <c r="G7" s="12">
        <v>1</v>
      </c>
      <c r="H7" s="16">
        <f t="shared" ref="H7:H36" si="1">G7*F7</f>
        <v>1200</v>
      </c>
      <c r="I7" s="16">
        <f t="shared" ref="I7:I36" si="2">H7*0.18</f>
        <v>216</v>
      </c>
      <c r="J7" s="16">
        <f t="shared" si="0"/>
        <v>1416</v>
      </c>
    </row>
    <row r="8" spans="1:10" ht="126" x14ac:dyDescent="0.3">
      <c r="A8" s="2">
        <v>4</v>
      </c>
      <c r="B8" s="2" t="s">
        <v>12</v>
      </c>
      <c r="C8" s="8" t="s">
        <v>13</v>
      </c>
      <c r="D8" s="9" t="s">
        <v>10</v>
      </c>
      <c r="E8" s="9" t="s">
        <v>11</v>
      </c>
      <c r="F8" s="18">
        <v>1200</v>
      </c>
      <c r="G8" s="12">
        <v>1</v>
      </c>
      <c r="H8" s="16">
        <f t="shared" si="1"/>
        <v>1200</v>
      </c>
      <c r="I8" s="16">
        <f t="shared" si="2"/>
        <v>216</v>
      </c>
      <c r="J8" s="16">
        <f t="shared" si="0"/>
        <v>1416</v>
      </c>
    </row>
    <row r="9" spans="1:10" ht="36" x14ac:dyDescent="0.3">
      <c r="A9" s="2">
        <v>5</v>
      </c>
      <c r="B9" s="31" t="s">
        <v>14</v>
      </c>
      <c r="C9" s="3" t="s">
        <v>15</v>
      </c>
      <c r="D9" s="9" t="s">
        <v>10</v>
      </c>
      <c r="E9" s="4" t="s">
        <v>16</v>
      </c>
      <c r="F9" s="18">
        <v>56</v>
      </c>
      <c r="G9" s="13">
        <v>36</v>
      </c>
      <c r="H9" s="16">
        <f t="shared" si="1"/>
        <v>2016</v>
      </c>
      <c r="I9" s="16">
        <f t="shared" si="2"/>
        <v>362.88</v>
      </c>
      <c r="J9" s="16">
        <f t="shared" si="0"/>
        <v>2378.88</v>
      </c>
    </row>
    <row r="10" spans="1:10" ht="21" x14ac:dyDescent="0.3">
      <c r="A10" s="2">
        <v>6</v>
      </c>
      <c r="B10" s="32"/>
      <c r="C10" s="8" t="s">
        <v>17</v>
      </c>
      <c r="D10" s="9" t="s">
        <v>18</v>
      </c>
      <c r="E10" s="4" t="s">
        <v>19</v>
      </c>
      <c r="F10" s="18">
        <v>32</v>
      </c>
      <c r="G10" s="13">
        <v>3</v>
      </c>
      <c r="H10" s="16">
        <f t="shared" si="1"/>
        <v>96</v>
      </c>
      <c r="I10" s="16">
        <f t="shared" si="2"/>
        <v>17.28</v>
      </c>
      <c r="J10" s="16">
        <f t="shared" si="0"/>
        <v>113.28</v>
      </c>
    </row>
    <row r="11" spans="1:10" ht="21" x14ac:dyDescent="0.3">
      <c r="A11" s="2">
        <v>7</v>
      </c>
      <c r="B11" s="38" t="s">
        <v>20</v>
      </c>
      <c r="C11" s="8" t="s">
        <v>21</v>
      </c>
      <c r="D11" s="9" t="s">
        <v>10</v>
      </c>
      <c r="E11" s="4" t="s">
        <v>16</v>
      </c>
      <c r="F11" s="18">
        <v>180</v>
      </c>
      <c r="G11" s="13">
        <v>0.7</v>
      </c>
      <c r="H11" s="16">
        <f t="shared" si="1"/>
        <v>125.99999999999999</v>
      </c>
      <c r="I11" s="16">
        <f t="shared" si="2"/>
        <v>22.679999999999996</v>
      </c>
      <c r="J11" s="16">
        <f t="shared" si="0"/>
        <v>148.67999999999998</v>
      </c>
    </row>
    <row r="12" spans="1:10" ht="21" x14ac:dyDescent="0.3">
      <c r="A12" s="2">
        <v>8</v>
      </c>
      <c r="B12" s="39"/>
      <c r="C12" s="8" t="s">
        <v>54</v>
      </c>
      <c r="D12" s="9" t="s">
        <v>10</v>
      </c>
      <c r="E12" s="4" t="s">
        <v>16</v>
      </c>
      <c r="F12" s="18">
        <v>120</v>
      </c>
      <c r="G12" s="13">
        <v>30</v>
      </c>
      <c r="H12" s="16">
        <f t="shared" si="1"/>
        <v>3600</v>
      </c>
      <c r="I12" s="16">
        <f t="shared" si="2"/>
        <v>648</v>
      </c>
      <c r="J12" s="16">
        <f t="shared" si="0"/>
        <v>4248</v>
      </c>
    </row>
    <row r="13" spans="1:10" ht="41.4" customHeight="1" x14ac:dyDescent="0.3">
      <c r="A13" s="2">
        <v>9</v>
      </c>
      <c r="B13" s="7" t="s">
        <v>22</v>
      </c>
      <c r="C13" s="8" t="s">
        <v>23</v>
      </c>
      <c r="D13" s="9" t="s">
        <v>10</v>
      </c>
      <c r="E13" s="4" t="s">
        <v>16</v>
      </c>
      <c r="F13" s="18">
        <v>85</v>
      </c>
      <c r="G13" s="13">
        <v>90</v>
      </c>
      <c r="H13" s="16">
        <f t="shared" si="1"/>
        <v>7650</v>
      </c>
      <c r="I13" s="16">
        <f t="shared" si="2"/>
        <v>1377</v>
      </c>
      <c r="J13" s="16">
        <f t="shared" si="0"/>
        <v>9027</v>
      </c>
    </row>
    <row r="14" spans="1:10" ht="36" x14ac:dyDescent="0.3">
      <c r="A14" s="2">
        <v>10</v>
      </c>
      <c r="B14" s="31" t="s">
        <v>24</v>
      </c>
      <c r="C14" s="8" t="s">
        <v>25</v>
      </c>
      <c r="D14" s="9" t="s">
        <v>26</v>
      </c>
      <c r="E14" s="4" t="s">
        <v>11</v>
      </c>
      <c r="F14" s="18">
        <v>170</v>
      </c>
      <c r="G14" s="13">
        <v>3</v>
      </c>
      <c r="H14" s="16">
        <f>G14*F14</f>
        <v>510</v>
      </c>
      <c r="I14" s="16">
        <f t="shared" si="2"/>
        <v>91.8</v>
      </c>
      <c r="J14" s="16">
        <f t="shared" si="0"/>
        <v>601.79999999999995</v>
      </c>
    </row>
    <row r="15" spans="1:10" ht="21" x14ac:dyDescent="0.3">
      <c r="A15" s="2"/>
      <c r="B15" s="31"/>
      <c r="C15" s="8" t="s">
        <v>81</v>
      </c>
      <c r="D15" s="9" t="s">
        <v>26</v>
      </c>
      <c r="E15" s="4" t="s">
        <v>47</v>
      </c>
      <c r="F15" s="18">
        <v>200</v>
      </c>
      <c r="G15" s="13">
        <v>3</v>
      </c>
      <c r="H15" s="16">
        <f>G15*F15</f>
        <v>600</v>
      </c>
      <c r="I15" s="16">
        <f t="shared" si="2"/>
        <v>108</v>
      </c>
      <c r="J15" s="16">
        <f t="shared" si="0"/>
        <v>708</v>
      </c>
    </row>
    <row r="16" spans="1:10" ht="21" x14ac:dyDescent="0.3">
      <c r="A16" s="2"/>
      <c r="B16" s="31"/>
      <c r="C16" s="8" t="s">
        <v>82</v>
      </c>
      <c r="D16" s="9" t="s">
        <v>26</v>
      </c>
      <c r="E16" s="4" t="s">
        <v>47</v>
      </c>
      <c r="F16" s="18">
        <v>200</v>
      </c>
      <c r="G16" s="13">
        <v>1</v>
      </c>
      <c r="H16" s="16">
        <f>G16*F16</f>
        <v>200</v>
      </c>
      <c r="I16" s="16">
        <f t="shared" si="2"/>
        <v>36</v>
      </c>
      <c r="J16" s="16">
        <f t="shared" si="0"/>
        <v>236</v>
      </c>
    </row>
    <row r="17" spans="1:10" ht="21" x14ac:dyDescent="0.3">
      <c r="A17" s="2">
        <v>11</v>
      </c>
      <c r="B17" s="31"/>
      <c r="C17" s="8" t="s">
        <v>27</v>
      </c>
      <c r="D17" s="9" t="s">
        <v>28</v>
      </c>
      <c r="E17" s="4" t="s">
        <v>11</v>
      </c>
      <c r="F17" s="18">
        <v>145</v>
      </c>
      <c r="G17" s="13">
        <v>2</v>
      </c>
      <c r="H17" s="16">
        <f t="shared" si="1"/>
        <v>290</v>
      </c>
      <c r="I17" s="16">
        <f t="shared" si="2"/>
        <v>52.199999999999996</v>
      </c>
      <c r="J17" s="16">
        <f t="shared" si="0"/>
        <v>342.2</v>
      </c>
    </row>
    <row r="18" spans="1:10" ht="36" x14ac:dyDescent="0.3">
      <c r="A18" s="2">
        <v>12</v>
      </c>
      <c r="B18" s="7" t="s">
        <v>29</v>
      </c>
      <c r="C18" s="8" t="s">
        <v>30</v>
      </c>
      <c r="D18" s="9" t="s">
        <v>26</v>
      </c>
      <c r="E18" s="4" t="s">
        <v>11</v>
      </c>
      <c r="F18" s="18">
        <v>340</v>
      </c>
      <c r="G18" s="12">
        <v>1</v>
      </c>
      <c r="H18" s="16">
        <f t="shared" si="1"/>
        <v>340</v>
      </c>
      <c r="I18" s="16">
        <f t="shared" si="2"/>
        <v>61.199999999999996</v>
      </c>
      <c r="J18" s="16">
        <f t="shared" si="0"/>
        <v>401.2</v>
      </c>
    </row>
    <row r="19" spans="1:10" ht="54" x14ac:dyDescent="0.3">
      <c r="A19" s="2">
        <v>13</v>
      </c>
      <c r="B19" s="26" t="s">
        <v>31</v>
      </c>
      <c r="C19" s="8" t="s">
        <v>32</v>
      </c>
      <c r="D19" s="9" t="s">
        <v>18</v>
      </c>
      <c r="E19" s="10" t="s">
        <v>11</v>
      </c>
      <c r="F19" s="18">
        <v>3.95</v>
      </c>
      <c r="G19" s="14">
        <v>8</v>
      </c>
      <c r="H19" s="16">
        <f t="shared" si="1"/>
        <v>31.6</v>
      </c>
      <c r="I19" s="16">
        <f t="shared" si="2"/>
        <v>5.6879999999999997</v>
      </c>
      <c r="J19" s="16">
        <f t="shared" si="0"/>
        <v>37.288000000000004</v>
      </c>
    </row>
    <row r="20" spans="1:10" ht="21" x14ac:dyDescent="0.3">
      <c r="A20" s="2">
        <v>14</v>
      </c>
      <c r="B20" s="27"/>
      <c r="C20" s="8" t="s">
        <v>33</v>
      </c>
      <c r="D20" s="9" t="s">
        <v>34</v>
      </c>
      <c r="E20" s="10" t="s">
        <v>11</v>
      </c>
      <c r="F20" s="18">
        <v>4</v>
      </c>
      <c r="G20" s="14">
        <v>8</v>
      </c>
      <c r="H20" s="16">
        <f t="shared" si="1"/>
        <v>32</v>
      </c>
      <c r="I20" s="16">
        <f t="shared" si="2"/>
        <v>5.76</v>
      </c>
      <c r="J20" s="16">
        <f t="shared" si="0"/>
        <v>37.76</v>
      </c>
    </row>
    <row r="21" spans="1:10" ht="21" x14ac:dyDescent="0.3">
      <c r="A21" s="2">
        <v>15</v>
      </c>
      <c r="B21" s="27"/>
      <c r="C21" s="8" t="s">
        <v>35</v>
      </c>
      <c r="D21" s="9" t="s">
        <v>34</v>
      </c>
      <c r="E21" s="9" t="s">
        <v>11</v>
      </c>
      <c r="F21" s="18">
        <v>4</v>
      </c>
      <c r="G21" s="14">
        <v>14</v>
      </c>
      <c r="H21" s="16">
        <f t="shared" si="1"/>
        <v>56</v>
      </c>
      <c r="I21" s="16">
        <f t="shared" si="2"/>
        <v>10.08</v>
      </c>
      <c r="J21" s="16">
        <f t="shared" si="0"/>
        <v>66.08</v>
      </c>
    </row>
    <row r="22" spans="1:10" ht="36" x14ac:dyDescent="0.3">
      <c r="A22" s="2">
        <v>16</v>
      </c>
      <c r="B22" s="27"/>
      <c r="C22" s="15" t="s">
        <v>36</v>
      </c>
      <c r="D22" s="9" t="s">
        <v>34</v>
      </c>
      <c r="E22" s="10" t="s">
        <v>11</v>
      </c>
      <c r="F22" s="18">
        <v>6</v>
      </c>
      <c r="G22" s="14">
        <v>16</v>
      </c>
      <c r="H22" s="16">
        <f t="shared" si="1"/>
        <v>96</v>
      </c>
      <c r="I22" s="16">
        <f t="shared" si="2"/>
        <v>17.28</v>
      </c>
      <c r="J22" s="16">
        <f t="shared" si="0"/>
        <v>113.28</v>
      </c>
    </row>
    <row r="23" spans="1:10" ht="21" x14ac:dyDescent="0.3">
      <c r="A23" s="2">
        <v>17</v>
      </c>
      <c r="B23" s="27"/>
      <c r="C23" s="15" t="s">
        <v>55</v>
      </c>
      <c r="D23" s="9" t="s">
        <v>34</v>
      </c>
      <c r="E23" s="10" t="s">
        <v>11</v>
      </c>
      <c r="F23" s="18">
        <v>6</v>
      </c>
      <c r="G23" s="14">
        <v>1</v>
      </c>
      <c r="H23" s="16">
        <f t="shared" si="1"/>
        <v>6</v>
      </c>
      <c r="I23" s="16">
        <f t="shared" si="2"/>
        <v>1.08</v>
      </c>
      <c r="J23" s="16">
        <f t="shared" si="0"/>
        <v>7.08</v>
      </c>
    </row>
    <row r="24" spans="1:10" ht="36" x14ac:dyDescent="0.3">
      <c r="A24" s="2">
        <v>18</v>
      </c>
      <c r="B24" s="28"/>
      <c r="C24" s="15" t="s">
        <v>37</v>
      </c>
      <c r="D24" s="9" t="s">
        <v>34</v>
      </c>
      <c r="E24" s="10" t="s">
        <v>11</v>
      </c>
      <c r="F24" s="18">
        <v>6</v>
      </c>
      <c r="G24" s="14">
        <v>1</v>
      </c>
      <c r="H24" s="16">
        <f t="shared" si="1"/>
        <v>6</v>
      </c>
      <c r="I24" s="16">
        <f t="shared" si="2"/>
        <v>1.08</v>
      </c>
      <c r="J24" s="16">
        <f t="shared" si="0"/>
        <v>7.08</v>
      </c>
    </row>
    <row r="25" spans="1:10" ht="21" x14ac:dyDescent="0.3">
      <c r="A25" s="2">
        <v>19</v>
      </c>
      <c r="B25" s="5" t="s">
        <v>38</v>
      </c>
      <c r="C25" s="6" t="s">
        <v>39</v>
      </c>
      <c r="D25" s="9" t="s">
        <v>34</v>
      </c>
      <c r="E25" s="10" t="s">
        <v>40</v>
      </c>
      <c r="F25" s="18">
        <v>50</v>
      </c>
      <c r="G25" s="14">
        <v>1.2</v>
      </c>
      <c r="H25" s="16">
        <f t="shared" si="1"/>
        <v>60</v>
      </c>
      <c r="I25" s="16">
        <f t="shared" si="2"/>
        <v>10.799999999999999</v>
      </c>
      <c r="J25" s="16">
        <f t="shared" si="0"/>
        <v>70.8</v>
      </c>
    </row>
    <row r="26" spans="1:10" ht="21" x14ac:dyDescent="0.3">
      <c r="A26" s="2">
        <v>20</v>
      </c>
      <c r="B26" s="5" t="s">
        <v>41</v>
      </c>
      <c r="C26" s="6" t="s">
        <v>42</v>
      </c>
      <c r="D26" s="9" t="s">
        <v>34</v>
      </c>
      <c r="E26" s="10" t="s">
        <v>16</v>
      </c>
      <c r="F26" s="18">
        <v>70</v>
      </c>
      <c r="G26" s="14">
        <v>1</v>
      </c>
      <c r="H26" s="16">
        <f t="shared" si="1"/>
        <v>70</v>
      </c>
      <c r="I26" s="16">
        <f t="shared" si="2"/>
        <v>12.6</v>
      </c>
      <c r="J26" s="16">
        <f t="shared" si="0"/>
        <v>82.6</v>
      </c>
    </row>
    <row r="27" spans="1:10" ht="34.799999999999997" x14ac:dyDescent="0.3">
      <c r="A27" s="2">
        <v>21</v>
      </c>
      <c r="B27" s="5" t="s">
        <v>43</v>
      </c>
      <c r="C27" s="6" t="s">
        <v>44</v>
      </c>
      <c r="D27" s="9" t="s">
        <v>45</v>
      </c>
      <c r="E27" s="10" t="s">
        <v>11</v>
      </c>
      <c r="F27" s="18">
        <v>10</v>
      </c>
      <c r="G27" s="14">
        <v>3</v>
      </c>
      <c r="H27" s="16">
        <f t="shared" si="1"/>
        <v>30</v>
      </c>
      <c r="I27" s="16">
        <f t="shared" si="2"/>
        <v>5.3999999999999995</v>
      </c>
      <c r="J27" s="16">
        <f t="shared" si="0"/>
        <v>35.4</v>
      </c>
    </row>
    <row r="28" spans="1:10" ht="21" x14ac:dyDescent="0.3">
      <c r="A28" s="2">
        <v>23</v>
      </c>
      <c r="B28" s="26" t="s">
        <v>56</v>
      </c>
      <c r="C28" s="6" t="s">
        <v>46</v>
      </c>
      <c r="D28" s="9" t="s">
        <v>18</v>
      </c>
      <c r="E28" s="10" t="s">
        <v>47</v>
      </c>
      <c r="F28" s="18">
        <v>3.1</v>
      </c>
      <c r="G28" s="12">
        <v>10</v>
      </c>
      <c r="H28" s="16">
        <f t="shared" si="1"/>
        <v>31</v>
      </c>
      <c r="I28" s="16">
        <f t="shared" si="2"/>
        <v>5.58</v>
      </c>
      <c r="J28" s="16">
        <f t="shared" si="0"/>
        <v>36.58</v>
      </c>
    </row>
    <row r="29" spans="1:10" ht="36" x14ac:dyDescent="0.3">
      <c r="A29" s="2">
        <v>24</v>
      </c>
      <c r="B29" s="27"/>
      <c r="C29" s="6" t="s">
        <v>48</v>
      </c>
      <c r="D29" s="9" t="s">
        <v>18</v>
      </c>
      <c r="E29" s="10" t="s">
        <v>47</v>
      </c>
      <c r="F29" s="18">
        <v>3.85</v>
      </c>
      <c r="G29" s="12">
        <v>12</v>
      </c>
      <c r="H29" s="16">
        <f t="shared" si="1"/>
        <v>46.2</v>
      </c>
      <c r="I29" s="16">
        <f t="shared" si="2"/>
        <v>8.3160000000000007</v>
      </c>
      <c r="J29" s="16">
        <f t="shared" si="0"/>
        <v>54.516000000000005</v>
      </c>
    </row>
    <row r="30" spans="1:10" ht="21" x14ac:dyDescent="0.3">
      <c r="A30" s="2">
        <v>25</v>
      </c>
      <c r="B30" s="28"/>
      <c r="C30" s="6" t="s">
        <v>49</v>
      </c>
      <c r="D30" s="9" t="s">
        <v>34</v>
      </c>
      <c r="E30" s="10" t="s">
        <v>50</v>
      </c>
      <c r="F30" s="18">
        <f>50*2.4</f>
        <v>120</v>
      </c>
      <c r="G30" s="12">
        <v>1</v>
      </c>
      <c r="H30" s="16">
        <f t="shared" si="1"/>
        <v>120</v>
      </c>
      <c r="I30" s="16">
        <f t="shared" si="2"/>
        <v>21.599999999999998</v>
      </c>
      <c r="J30" s="16">
        <f t="shared" si="0"/>
        <v>141.6</v>
      </c>
    </row>
    <row r="31" spans="1:10" ht="21" x14ac:dyDescent="0.3">
      <c r="A31" s="42">
        <v>26</v>
      </c>
      <c r="B31" s="26" t="s">
        <v>66</v>
      </c>
      <c r="C31" s="6" t="s">
        <v>67</v>
      </c>
      <c r="D31" s="9" t="s">
        <v>18</v>
      </c>
      <c r="E31" s="10" t="s">
        <v>11</v>
      </c>
      <c r="F31" s="18">
        <v>30</v>
      </c>
      <c r="G31" s="12">
        <f>G13</f>
        <v>90</v>
      </c>
      <c r="H31" s="16">
        <f t="shared" si="1"/>
        <v>2700</v>
      </c>
      <c r="I31" s="16">
        <f t="shared" si="2"/>
        <v>486</v>
      </c>
      <c r="J31" s="16">
        <f t="shared" si="0"/>
        <v>3186</v>
      </c>
    </row>
    <row r="32" spans="1:10" ht="21" x14ac:dyDescent="0.3">
      <c r="A32" s="42"/>
      <c r="B32" s="28"/>
      <c r="C32" s="6" t="s">
        <v>68</v>
      </c>
      <c r="D32" s="9" t="s">
        <v>18</v>
      </c>
      <c r="E32" s="10" t="s">
        <v>69</v>
      </c>
      <c r="F32" s="18">
        <v>400</v>
      </c>
      <c r="G32" s="12">
        <v>1</v>
      </c>
      <c r="H32" s="16">
        <f t="shared" si="1"/>
        <v>400</v>
      </c>
      <c r="I32" s="16">
        <f t="shared" si="2"/>
        <v>72</v>
      </c>
      <c r="J32" s="16">
        <f t="shared" si="0"/>
        <v>472</v>
      </c>
    </row>
    <row r="33" spans="1:10" ht="59.4" customHeight="1" x14ac:dyDescent="0.3">
      <c r="A33" s="42">
        <v>27</v>
      </c>
      <c r="B33" s="5" t="s">
        <v>51</v>
      </c>
      <c r="C33" s="6" t="s">
        <v>52</v>
      </c>
      <c r="D33" s="9" t="s">
        <v>18</v>
      </c>
      <c r="E33" s="10" t="s">
        <v>69</v>
      </c>
      <c r="F33" s="18">
        <v>23</v>
      </c>
      <c r="G33" s="12">
        <v>1</v>
      </c>
      <c r="H33" s="16">
        <f t="shared" si="1"/>
        <v>23</v>
      </c>
      <c r="I33" s="16">
        <f t="shared" si="2"/>
        <v>4.1399999999999997</v>
      </c>
      <c r="J33" s="16">
        <f t="shared" si="0"/>
        <v>27.14</v>
      </c>
    </row>
    <row r="34" spans="1:10" ht="59.4" customHeight="1" x14ac:dyDescent="0.3">
      <c r="A34" s="42"/>
      <c r="B34" s="5" t="s">
        <v>70</v>
      </c>
      <c r="C34" s="6" t="s">
        <v>71</v>
      </c>
      <c r="D34" s="9" t="s">
        <v>72</v>
      </c>
      <c r="E34" s="10" t="s">
        <v>69</v>
      </c>
      <c r="F34" s="43">
        <v>5000</v>
      </c>
      <c r="G34" s="44">
        <v>1</v>
      </c>
      <c r="H34" s="16">
        <f t="shared" si="1"/>
        <v>5000</v>
      </c>
      <c r="I34" s="16">
        <f t="shared" si="2"/>
        <v>900</v>
      </c>
      <c r="J34" s="16">
        <f t="shared" si="0"/>
        <v>5900</v>
      </c>
    </row>
    <row r="35" spans="1:10" ht="59.4" customHeight="1" x14ac:dyDescent="0.3">
      <c r="A35" s="42"/>
      <c r="B35" s="5" t="s">
        <v>73</v>
      </c>
      <c r="C35" s="6" t="s">
        <v>74</v>
      </c>
      <c r="D35" s="9" t="s">
        <v>75</v>
      </c>
      <c r="E35" s="10" t="s">
        <v>69</v>
      </c>
      <c r="F35" s="43">
        <v>5000</v>
      </c>
      <c r="G35" s="44">
        <v>1</v>
      </c>
      <c r="H35" s="16">
        <f t="shared" si="1"/>
        <v>5000</v>
      </c>
      <c r="I35" s="16">
        <f t="shared" si="2"/>
        <v>900</v>
      </c>
      <c r="J35" s="16">
        <f t="shared" si="0"/>
        <v>5900</v>
      </c>
    </row>
    <row r="36" spans="1:10" ht="59.4" customHeight="1" x14ac:dyDescent="0.3">
      <c r="A36" s="42"/>
      <c r="B36" s="5" t="s">
        <v>76</v>
      </c>
      <c r="C36" s="6" t="s">
        <v>84</v>
      </c>
      <c r="D36" s="9" t="s">
        <v>77</v>
      </c>
      <c r="E36" s="10" t="s">
        <v>47</v>
      </c>
      <c r="F36" s="43">
        <v>4500</v>
      </c>
      <c r="G36" s="44">
        <v>1</v>
      </c>
      <c r="H36" s="16">
        <f t="shared" si="1"/>
        <v>4500</v>
      </c>
      <c r="I36" s="16">
        <f t="shared" si="2"/>
        <v>810</v>
      </c>
      <c r="J36" s="16">
        <f t="shared" si="0"/>
        <v>5310</v>
      </c>
    </row>
    <row r="37" spans="1:10" ht="22.8" x14ac:dyDescent="0.35">
      <c r="A37" s="9"/>
      <c r="B37" s="9"/>
      <c r="C37" s="9"/>
      <c r="D37" s="9"/>
      <c r="E37" s="11"/>
      <c r="F37" s="22" t="s">
        <v>53</v>
      </c>
      <c r="G37" s="23"/>
      <c r="H37" s="17">
        <f>SUM(H4:H36)</f>
        <v>160585.80000000002</v>
      </c>
      <c r="I37" s="17">
        <f>SUM(I4:I36)</f>
        <v>14657.444000000001</v>
      </c>
      <c r="J37" s="47">
        <f>SUM(J4:J36)</f>
        <v>175243.24399999998</v>
      </c>
    </row>
    <row r="38" spans="1:10" ht="34.799999999999997" customHeight="1" x14ac:dyDescent="0.35">
      <c r="B38" s="1"/>
      <c r="F38" s="19"/>
      <c r="H38" s="50" t="s">
        <v>88</v>
      </c>
      <c r="I38" s="48" t="s">
        <v>85</v>
      </c>
      <c r="J38" s="49">
        <f>J37*1.2</f>
        <v>210291.89279999997</v>
      </c>
    </row>
    <row r="39" spans="1:10" ht="37.799999999999997" customHeight="1" x14ac:dyDescent="0.35">
      <c r="H39" s="50" t="s">
        <v>90</v>
      </c>
      <c r="I39" s="48" t="s">
        <v>86</v>
      </c>
      <c r="J39" s="49">
        <f>J37*1.25</f>
        <v>219054.05499999996</v>
      </c>
    </row>
    <row r="40" spans="1:10" ht="36" x14ac:dyDescent="0.35">
      <c r="H40" s="50" t="s">
        <v>89</v>
      </c>
      <c r="I40" s="48" t="s">
        <v>87</v>
      </c>
      <c r="J40" s="49">
        <f>J37*1.32</f>
        <v>231321.08207999999</v>
      </c>
    </row>
    <row r="44" spans="1:10" x14ac:dyDescent="0.3">
      <c r="H44" s="19"/>
    </row>
  </sheetData>
  <mergeCells count="19">
    <mergeCell ref="I2:I3"/>
    <mergeCell ref="G1:J1"/>
    <mergeCell ref="J2:J3"/>
    <mergeCell ref="B28:B30"/>
    <mergeCell ref="B31:B32"/>
    <mergeCell ref="B9:B10"/>
    <mergeCell ref="B11:B12"/>
    <mergeCell ref="B14:B17"/>
    <mergeCell ref="B19:B24"/>
    <mergeCell ref="F37:G37"/>
    <mergeCell ref="A1:F1"/>
    <mergeCell ref="A2:A3"/>
    <mergeCell ref="B2:B3"/>
    <mergeCell ref="C2:C3"/>
    <mergeCell ref="D2:D3"/>
    <mergeCell ref="E2:E3"/>
    <mergeCell ref="F2:F3"/>
    <mergeCell ref="G2:G3"/>
    <mergeCell ref="H2:H3"/>
  </mergeCells>
  <dataValidations count="1">
    <dataValidation type="list" allowBlank="1" showErrorMessage="1" sqref="B9 B18 B11 B13:B16" xr:uid="{44BDB68A-39C8-46D0-9BB1-4264D67D1747}">
      <formula1>"DC Cable,AC Cables,Earthing Cables,RMU,Earthing,LA"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FA48-24AA-4538-AB6E-9F1D9A327623}">
  <dimension ref="A1:K71"/>
  <sheetViews>
    <sheetView tabSelected="1" topLeftCell="A48" workbookViewId="0">
      <selection activeCell="C60" sqref="C59:C60"/>
    </sheetView>
  </sheetViews>
  <sheetFormatPr defaultRowHeight="14.4" x14ac:dyDescent="0.3"/>
  <cols>
    <col min="2" max="2" width="16" customWidth="1"/>
    <col min="3" max="3" width="47" customWidth="1"/>
    <col min="4" max="4" width="27.69921875" customWidth="1"/>
    <col min="5" max="5" width="14.8984375" customWidth="1"/>
    <col min="6" max="6" width="20.296875" customWidth="1"/>
    <col min="8" max="8" width="17.3984375" customWidth="1"/>
    <col min="9" max="9" width="15" customWidth="1"/>
    <col min="10" max="10" width="19.69921875" customWidth="1"/>
    <col min="11" max="11" width="34.69921875" customWidth="1"/>
  </cols>
  <sheetData>
    <row r="1" spans="1:1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9" t="s">
        <v>91</v>
      </c>
      <c r="G1" s="35" t="s">
        <v>6</v>
      </c>
      <c r="H1" s="36" t="s">
        <v>7</v>
      </c>
      <c r="I1" s="36" t="s">
        <v>80</v>
      </c>
      <c r="J1" s="36" t="s">
        <v>83</v>
      </c>
      <c r="K1" s="36" t="s">
        <v>57</v>
      </c>
    </row>
    <row r="2" spans="1:11" x14ac:dyDescent="0.3">
      <c r="A2" s="25"/>
      <c r="B2" s="30"/>
      <c r="C2" s="25"/>
      <c r="D2" s="25"/>
      <c r="E2" s="25"/>
      <c r="F2" s="29"/>
      <c r="G2" s="35"/>
      <c r="H2" s="36"/>
      <c r="I2" s="36"/>
      <c r="J2" s="36"/>
      <c r="K2" s="36"/>
    </row>
    <row r="3" spans="1:11" ht="21" x14ac:dyDescent="0.4">
      <c r="A3" s="38">
        <v>1</v>
      </c>
      <c r="B3" s="38" t="s">
        <v>59</v>
      </c>
      <c r="C3" s="20" t="s">
        <v>58</v>
      </c>
      <c r="D3" s="20" t="s">
        <v>60</v>
      </c>
      <c r="E3" s="53" t="s">
        <v>99</v>
      </c>
      <c r="F3" s="54">
        <v>28</v>
      </c>
      <c r="G3" s="12">
        <v>1</v>
      </c>
      <c r="H3" s="16">
        <f>G3*F3</f>
        <v>28</v>
      </c>
      <c r="I3" s="16">
        <f>H3*0.05</f>
        <v>1.4000000000000001</v>
      </c>
      <c r="J3" s="16">
        <f>H3+I3</f>
        <v>29.4</v>
      </c>
      <c r="K3" s="55" t="s">
        <v>100</v>
      </c>
    </row>
    <row r="4" spans="1:11" ht="21" x14ac:dyDescent="0.4">
      <c r="A4" s="52"/>
      <c r="B4" s="52"/>
      <c r="C4" s="20" t="s">
        <v>58</v>
      </c>
      <c r="D4" s="20" t="s">
        <v>92</v>
      </c>
      <c r="E4" s="53" t="s">
        <v>99</v>
      </c>
      <c r="F4" s="54">
        <v>28</v>
      </c>
      <c r="G4" s="12">
        <v>1</v>
      </c>
      <c r="H4" s="16">
        <f t="shared" ref="H4:H7" si="0">G4*F4</f>
        <v>28</v>
      </c>
      <c r="I4" s="16">
        <f t="shared" ref="I4:I10" si="1">H4*0.05</f>
        <v>1.4000000000000001</v>
      </c>
      <c r="J4" s="16">
        <f t="shared" ref="J4:J7" si="2">H4+I4</f>
        <v>29.4</v>
      </c>
      <c r="K4" s="56"/>
    </row>
    <row r="5" spans="1:11" ht="21" x14ac:dyDescent="0.4">
      <c r="A5" s="52"/>
      <c r="B5" s="52"/>
      <c r="C5" s="20" t="s">
        <v>58</v>
      </c>
      <c r="D5" s="20" t="s">
        <v>93</v>
      </c>
      <c r="E5" s="53" t="s">
        <v>99</v>
      </c>
      <c r="F5" s="54">
        <v>28</v>
      </c>
      <c r="G5" s="12">
        <v>1</v>
      </c>
      <c r="H5" s="16">
        <f t="shared" si="0"/>
        <v>28</v>
      </c>
      <c r="I5" s="16">
        <f t="shared" si="1"/>
        <v>1.4000000000000001</v>
      </c>
      <c r="J5" s="16">
        <f t="shared" si="2"/>
        <v>29.4</v>
      </c>
      <c r="K5" s="56"/>
    </row>
    <row r="6" spans="1:11" ht="21" x14ac:dyDescent="0.4">
      <c r="A6" s="52"/>
      <c r="B6" s="52"/>
      <c r="C6" s="20" t="s">
        <v>58</v>
      </c>
      <c r="D6" s="20" t="s">
        <v>94</v>
      </c>
      <c r="E6" s="53" t="s">
        <v>99</v>
      </c>
      <c r="F6" s="54">
        <v>28</v>
      </c>
      <c r="G6" s="12">
        <v>1</v>
      </c>
      <c r="H6" s="16">
        <f t="shared" si="0"/>
        <v>28</v>
      </c>
      <c r="I6" s="16">
        <f t="shared" si="1"/>
        <v>1.4000000000000001</v>
      </c>
      <c r="J6" s="16">
        <f t="shared" si="2"/>
        <v>29.4</v>
      </c>
      <c r="K6" s="56"/>
    </row>
    <row r="7" spans="1:11" ht="21" x14ac:dyDescent="0.4">
      <c r="A7" s="52"/>
      <c r="B7" s="52"/>
      <c r="C7" s="20" t="s">
        <v>58</v>
      </c>
      <c r="D7" s="20" t="s">
        <v>95</v>
      </c>
      <c r="E7" s="53" t="s">
        <v>99</v>
      </c>
      <c r="F7" s="54">
        <v>28</v>
      </c>
      <c r="G7" s="12">
        <v>1</v>
      </c>
      <c r="H7" s="16">
        <f t="shared" si="0"/>
        <v>28</v>
      </c>
      <c r="I7" s="16">
        <f t="shared" si="1"/>
        <v>1.4000000000000001</v>
      </c>
      <c r="J7" s="16">
        <f t="shared" si="2"/>
        <v>29.4</v>
      </c>
      <c r="K7" s="56"/>
    </row>
    <row r="8" spans="1:11" ht="21" x14ac:dyDescent="0.4">
      <c r="A8" s="52"/>
      <c r="B8" s="52"/>
      <c r="C8" s="20" t="s">
        <v>58</v>
      </c>
      <c r="D8" s="20" t="s">
        <v>96</v>
      </c>
      <c r="E8" s="53" t="s">
        <v>99</v>
      </c>
      <c r="F8" s="54">
        <v>28</v>
      </c>
      <c r="G8" s="12">
        <v>1</v>
      </c>
      <c r="H8" s="16">
        <f t="shared" ref="H8" si="3">G8*F8</f>
        <v>28</v>
      </c>
      <c r="I8" s="16">
        <f t="shared" si="1"/>
        <v>1.4000000000000001</v>
      </c>
      <c r="J8" s="16">
        <f t="shared" ref="J8" si="4">H8+I8</f>
        <v>29.4</v>
      </c>
      <c r="K8" s="56"/>
    </row>
    <row r="9" spans="1:11" ht="21" x14ac:dyDescent="0.4">
      <c r="A9" s="52"/>
      <c r="B9" s="52"/>
      <c r="C9" s="20" t="s">
        <v>58</v>
      </c>
      <c r="D9" s="20" t="s">
        <v>97</v>
      </c>
      <c r="E9" s="53" t="s">
        <v>99</v>
      </c>
      <c r="F9" s="54">
        <v>28</v>
      </c>
      <c r="G9" s="12">
        <v>1</v>
      </c>
      <c r="H9" s="16">
        <f t="shared" ref="H9" si="5">G9*F9</f>
        <v>28</v>
      </c>
      <c r="I9" s="16">
        <f t="shared" si="1"/>
        <v>1.4000000000000001</v>
      </c>
      <c r="J9" s="16">
        <f t="shared" ref="J9" si="6">H9+I9</f>
        <v>29.4</v>
      </c>
      <c r="K9" s="56"/>
    </row>
    <row r="10" spans="1:11" ht="21" x14ac:dyDescent="0.4">
      <c r="A10" s="39"/>
      <c r="B10" s="39"/>
      <c r="C10" s="20" t="s">
        <v>58</v>
      </c>
      <c r="D10" s="20" t="s">
        <v>98</v>
      </c>
      <c r="E10" s="53" t="s">
        <v>99</v>
      </c>
      <c r="F10" s="54">
        <v>28</v>
      </c>
      <c r="G10" s="12">
        <v>1</v>
      </c>
      <c r="H10" s="16">
        <f t="shared" ref="H10" si="7">G10*F10</f>
        <v>28</v>
      </c>
      <c r="I10" s="16">
        <f t="shared" si="1"/>
        <v>1.4000000000000001</v>
      </c>
      <c r="J10" s="16">
        <f t="shared" ref="J10" si="8">H10+I10</f>
        <v>29.4</v>
      </c>
      <c r="K10" s="56"/>
    </row>
    <row r="11" spans="1:11" ht="21" x14ac:dyDescent="0.4">
      <c r="A11" s="38">
        <v>2</v>
      </c>
      <c r="B11" s="38" t="s">
        <v>107</v>
      </c>
      <c r="C11" s="20" t="s">
        <v>62</v>
      </c>
      <c r="D11" s="20" t="s">
        <v>63</v>
      </c>
      <c r="E11" s="20" t="s">
        <v>47</v>
      </c>
      <c r="F11" s="18">
        <v>18500</v>
      </c>
      <c r="G11" s="12">
        <v>1</v>
      </c>
      <c r="H11" s="16">
        <f>G11*F11</f>
        <v>18500</v>
      </c>
      <c r="I11" s="16">
        <f>H11*0.05</f>
        <v>925</v>
      </c>
      <c r="J11" s="16">
        <f t="shared" ref="J11:J29" si="9">H11+I11</f>
        <v>19425</v>
      </c>
      <c r="K11" s="57" t="s">
        <v>109</v>
      </c>
    </row>
    <row r="12" spans="1:11" ht="21" x14ac:dyDescent="0.4">
      <c r="A12" s="52"/>
      <c r="B12" s="52"/>
      <c r="C12" s="20" t="s">
        <v>62</v>
      </c>
      <c r="D12" s="20" t="s">
        <v>10</v>
      </c>
      <c r="E12" s="20" t="s">
        <v>47</v>
      </c>
      <c r="F12" s="18">
        <v>18000</v>
      </c>
      <c r="G12" s="12">
        <v>1</v>
      </c>
      <c r="H12" s="16">
        <f t="shared" ref="H12:H19" si="10">G12*F12</f>
        <v>18000</v>
      </c>
      <c r="I12" s="16">
        <f t="shared" ref="I12:I28" si="11">H12*0.05</f>
        <v>900</v>
      </c>
      <c r="J12" s="16">
        <f t="shared" si="9"/>
        <v>18900</v>
      </c>
      <c r="K12" s="57"/>
    </row>
    <row r="13" spans="1:11" ht="21" x14ac:dyDescent="0.4">
      <c r="A13" s="52"/>
      <c r="B13" s="52"/>
      <c r="C13" s="20" t="s">
        <v>62</v>
      </c>
      <c r="D13" s="20" t="s">
        <v>101</v>
      </c>
      <c r="E13" s="20" t="s">
        <v>47</v>
      </c>
      <c r="F13" s="18">
        <v>20000</v>
      </c>
      <c r="G13" s="12">
        <v>1</v>
      </c>
      <c r="H13" s="16">
        <f t="shared" si="10"/>
        <v>20000</v>
      </c>
      <c r="I13" s="16">
        <f t="shared" si="11"/>
        <v>1000</v>
      </c>
      <c r="J13" s="16">
        <f t="shared" si="9"/>
        <v>21000</v>
      </c>
      <c r="K13" s="57"/>
    </row>
    <row r="14" spans="1:11" ht="21" x14ac:dyDescent="0.4">
      <c r="A14" s="52"/>
      <c r="B14" s="52"/>
      <c r="C14" s="20" t="s">
        <v>62</v>
      </c>
      <c r="D14" s="20" t="s">
        <v>102</v>
      </c>
      <c r="E14" s="20" t="s">
        <v>47</v>
      </c>
      <c r="F14" s="18">
        <v>20000</v>
      </c>
      <c r="G14" s="12">
        <v>1</v>
      </c>
      <c r="H14" s="16">
        <f t="shared" si="10"/>
        <v>20000</v>
      </c>
      <c r="I14" s="16">
        <f t="shared" si="11"/>
        <v>1000</v>
      </c>
      <c r="J14" s="16">
        <f t="shared" si="9"/>
        <v>21000</v>
      </c>
      <c r="K14" s="57"/>
    </row>
    <row r="15" spans="1:11" ht="21" x14ac:dyDescent="0.4">
      <c r="A15" s="52"/>
      <c r="B15" s="52"/>
      <c r="C15" s="20" t="s">
        <v>62</v>
      </c>
      <c r="D15" s="20" t="s">
        <v>103</v>
      </c>
      <c r="E15" s="20" t="s">
        <v>47</v>
      </c>
      <c r="F15" s="18">
        <v>20000</v>
      </c>
      <c r="G15" s="12">
        <v>1</v>
      </c>
      <c r="H15" s="16">
        <f t="shared" si="10"/>
        <v>20000</v>
      </c>
      <c r="I15" s="16">
        <f t="shared" si="11"/>
        <v>1000</v>
      </c>
      <c r="J15" s="16">
        <f t="shared" si="9"/>
        <v>21000</v>
      </c>
      <c r="K15" s="57"/>
    </row>
    <row r="16" spans="1:11" ht="21" x14ac:dyDescent="0.4">
      <c r="A16" s="52"/>
      <c r="B16" s="52"/>
      <c r="C16" s="20" t="s">
        <v>62</v>
      </c>
      <c r="D16" s="20" t="s">
        <v>104</v>
      </c>
      <c r="E16" s="20" t="s">
        <v>47</v>
      </c>
      <c r="F16" s="18">
        <v>22000</v>
      </c>
      <c r="G16" s="12">
        <v>1</v>
      </c>
      <c r="H16" s="16">
        <f t="shared" si="10"/>
        <v>22000</v>
      </c>
      <c r="I16" s="16">
        <f t="shared" si="11"/>
        <v>1100</v>
      </c>
      <c r="J16" s="16">
        <f t="shared" si="9"/>
        <v>23100</v>
      </c>
      <c r="K16" s="57"/>
    </row>
    <row r="17" spans="1:11" ht="21" x14ac:dyDescent="0.4">
      <c r="A17" s="52"/>
      <c r="B17" s="52"/>
      <c r="C17" s="20" t="s">
        <v>62</v>
      </c>
      <c r="D17" s="20" t="s">
        <v>105</v>
      </c>
      <c r="E17" s="20" t="s">
        <v>47</v>
      </c>
      <c r="F17" s="18">
        <v>24000</v>
      </c>
      <c r="G17" s="12">
        <v>1</v>
      </c>
      <c r="H17" s="16">
        <f t="shared" si="10"/>
        <v>24000</v>
      </c>
      <c r="I17" s="16">
        <f t="shared" si="11"/>
        <v>1200</v>
      </c>
      <c r="J17" s="16">
        <f t="shared" si="9"/>
        <v>25200</v>
      </c>
      <c r="K17" s="57"/>
    </row>
    <row r="18" spans="1:11" ht="21" x14ac:dyDescent="0.4">
      <c r="A18" s="52"/>
      <c r="B18" s="52"/>
      <c r="C18" s="20" t="s">
        <v>62</v>
      </c>
      <c r="D18" s="20" t="s">
        <v>106</v>
      </c>
      <c r="E18" s="20" t="s">
        <v>47</v>
      </c>
      <c r="F18" s="18">
        <v>18000</v>
      </c>
      <c r="G18" s="12">
        <v>1</v>
      </c>
      <c r="H18" s="16">
        <f t="shared" si="10"/>
        <v>18000</v>
      </c>
      <c r="I18" s="16">
        <f t="shared" si="11"/>
        <v>900</v>
      </c>
      <c r="J18" s="16">
        <f t="shared" si="9"/>
        <v>18900</v>
      </c>
      <c r="K18" s="57"/>
    </row>
    <row r="19" spans="1:11" ht="21" x14ac:dyDescent="0.4">
      <c r="A19" s="39"/>
      <c r="B19" s="39"/>
      <c r="C19" s="20" t="s">
        <v>62</v>
      </c>
      <c r="D19" s="20" t="s">
        <v>108</v>
      </c>
      <c r="E19" s="20" t="s">
        <v>47</v>
      </c>
      <c r="F19" s="18">
        <v>18000</v>
      </c>
      <c r="G19" s="12">
        <v>1</v>
      </c>
      <c r="H19" s="16">
        <f t="shared" si="10"/>
        <v>18000</v>
      </c>
      <c r="I19" s="16">
        <f t="shared" si="11"/>
        <v>900</v>
      </c>
      <c r="J19" s="16">
        <f t="shared" si="9"/>
        <v>18900</v>
      </c>
      <c r="K19" s="57"/>
    </row>
    <row r="20" spans="1:11" ht="21" x14ac:dyDescent="0.4">
      <c r="A20" s="38">
        <v>3</v>
      </c>
      <c r="B20" s="38" t="s">
        <v>107</v>
      </c>
      <c r="C20" s="20" t="s">
        <v>110</v>
      </c>
      <c r="D20" s="20" t="s">
        <v>63</v>
      </c>
      <c r="E20" s="20" t="s">
        <v>47</v>
      </c>
      <c r="F20" s="18">
        <v>31000</v>
      </c>
      <c r="G20" s="12">
        <v>1</v>
      </c>
      <c r="H20" s="16">
        <f>G20*F20</f>
        <v>31000</v>
      </c>
      <c r="I20" s="16">
        <f>H20*0.05</f>
        <v>1550</v>
      </c>
      <c r="J20" s="16">
        <f t="shared" ref="J20:J28" si="12">H20+I20</f>
        <v>32550</v>
      </c>
      <c r="K20" s="57" t="s">
        <v>109</v>
      </c>
    </row>
    <row r="21" spans="1:11" ht="21" x14ac:dyDescent="0.4">
      <c r="A21" s="52"/>
      <c r="B21" s="52"/>
      <c r="C21" s="20" t="s">
        <v>110</v>
      </c>
      <c r="D21" s="20" t="s">
        <v>10</v>
      </c>
      <c r="E21" s="20" t="s">
        <v>47</v>
      </c>
      <c r="F21" s="18">
        <v>32000</v>
      </c>
      <c r="G21" s="12">
        <v>1</v>
      </c>
      <c r="H21" s="16">
        <f t="shared" ref="H21:H28" si="13">G21*F21</f>
        <v>32000</v>
      </c>
      <c r="I21" s="16">
        <f t="shared" si="11"/>
        <v>1600</v>
      </c>
      <c r="J21" s="16">
        <f t="shared" si="12"/>
        <v>33600</v>
      </c>
      <c r="K21" s="57"/>
    </row>
    <row r="22" spans="1:11" ht="21" x14ac:dyDescent="0.4">
      <c r="A22" s="52"/>
      <c r="B22" s="52"/>
      <c r="C22" s="20" t="s">
        <v>110</v>
      </c>
      <c r="D22" s="20" t="s">
        <v>101</v>
      </c>
      <c r="E22" s="20" t="s">
        <v>47</v>
      </c>
      <c r="F22" s="18">
        <v>31000</v>
      </c>
      <c r="G22" s="12">
        <v>1</v>
      </c>
      <c r="H22" s="16">
        <f t="shared" si="13"/>
        <v>31000</v>
      </c>
      <c r="I22" s="16">
        <f t="shared" si="11"/>
        <v>1550</v>
      </c>
      <c r="J22" s="16">
        <f t="shared" si="12"/>
        <v>32550</v>
      </c>
      <c r="K22" s="57"/>
    </row>
    <row r="23" spans="1:11" ht="21" x14ac:dyDescent="0.4">
      <c r="A23" s="52"/>
      <c r="B23" s="52"/>
      <c r="C23" s="20" t="s">
        <v>110</v>
      </c>
      <c r="D23" s="20" t="s">
        <v>102</v>
      </c>
      <c r="E23" s="20" t="s">
        <v>47</v>
      </c>
      <c r="F23" s="18">
        <v>32000</v>
      </c>
      <c r="G23" s="12">
        <v>1</v>
      </c>
      <c r="H23" s="16">
        <f t="shared" si="13"/>
        <v>32000</v>
      </c>
      <c r="I23" s="16">
        <f t="shared" si="11"/>
        <v>1600</v>
      </c>
      <c r="J23" s="16">
        <f t="shared" si="12"/>
        <v>33600</v>
      </c>
      <c r="K23" s="57"/>
    </row>
    <row r="24" spans="1:11" ht="21" x14ac:dyDescent="0.4">
      <c r="A24" s="52"/>
      <c r="B24" s="52"/>
      <c r="C24" s="20" t="s">
        <v>110</v>
      </c>
      <c r="D24" s="20" t="s">
        <v>103</v>
      </c>
      <c r="E24" s="20" t="s">
        <v>47</v>
      </c>
      <c r="F24" s="18">
        <v>32000</v>
      </c>
      <c r="G24" s="12">
        <v>1</v>
      </c>
      <c r="H24" s="16">
        <f t="shared" si="13"/>
        <v>32000</v>
      </c>
      <c r="I24" s="16">
        <f t="shared" si="11"/>
        <v>1600</v>
      </c>
      <c r="J24" s="16">
        <f t="shared" si="12"/>
        <v>33600</v>
      </c>
      <c r="K24" s="57"/>
    </row>
    <row r="25" spans="1:11" ht="21" x14ac:dyDescent="0.4">
      <c r="A25" s="52"/>
      <c r="B25" s="52"/>
      <c r="C25" s="20" t="s">
        <v>110</v>
      </c>
      <c r="D25" s="20" t="s">
        <v>104</v>
      </c>
      <c r="E25" s="20" t="s">
        <v>47</v>
      </c>
      <c r="F25" s="18">
        <v>32000</v>
      </c>
      <c r="G25" s="12">
        <v>1</v>
      </c>
      <c r="H25" s="16">
        <f t="shared" si="13"/>
        <v>32000</v>
      </c>
      <c r="I25" s="16">
        <f t="shared" si="11"/>
        <v>1600</v>
      </c>
      <c r="J25" s="16">
        <f t="shared" si="12"/>
        <v>33600</v>
      </c>
      <c r="K25" s="57"/>
    </row>
    <row r="26" spans="1:11" ht="21" x14ac:dyDescent="0.4">
      <c r="A26" s="52"/>
      <c r="B26" s="52"/>
      <c r="C26" s="20" t="s">
        <v>110</v>
      </c>
      <c r="D26" s="20" t="s">
        <v>105</v>
      </c>
      <c r="E26" s="20" t="s">
        <v>47</v>
      </c>
      <c r="F26" s="18">
        <v>32000</v>
      </c>
      <c r="G26" s="12">
        <v>1</v>
      </c>
      <c r="H26" s="16">
        <f t="shared" si="13"/>
        <v>32000</v>
      </c>
      <c r="I26" s="16">
        <f t="shared" si="11"/>
        <v>1600</v>
      </c>
      <c r="J26" s="16">
        <f t="shared" si="12"/>
        <v>33600</v>
      </c>
      <c r="K26" s="57"/>
    </row>
    <row r="27" spans="1:11" ht="21" x14ac:dyDescent="0.4">
      <c r="A27" s="52"/>
      <c r="B27" s="52"/>
      <c r="C27" s="20" t="s">
        <v>110</v>
      </c>
      <c r="D27" s="20" t="s">
        <v>106</v>
      </c>
      <c r="E27" s="20" t="s">
        <v>47</v>
      </c>
      <c r="F27" s="18">
        <v>28000</v>
      </c>
      <c r="G27" s="12">
        <v>1</v>
      </c>
      <c r="H27" s="16">
        <f t="shared" si="13"/>
        <v>28000</v>
      </c>
      <c r="I27" s="16">
        <f t="shared" si="11"/>
        <v>1400</v>
      </c>
      <c r="J27" s="16">
        <f t="shared" si="12"/>
        <v>29400</v>
      </c>
      <c r="K27" s="57"/>
    </row>
    <row r="28" spans="1:11" ht="21" x14ac:dyDescent="0.4">
      <c r="A28" s="39"/>
      <c r="B28" s="39"/>
      <c r="C28" s="20" t="s">
        <v>110</v>
      </c>
      <c r="D28" s="20" t="s">
        <v>108</v>
      </c>
      <c r="E28" s="20" t="s">
        <v>47</v>
      </c>
      <c r="F28" s="18">
        <v>32000</v>
      </c>
      <c r="G28" s="12">
        <v>1</v>
      </c>
      <c r="H28" s="16">
        <f t="shared" si="13"/>
        <v>32000</v>
      </c>
      <c r="I28" s="16">
        <f t="shared" si="11"/>
        <v>1600</v>
      </c>
      <c r="J28" s="16">
        <f t="shared" si="12"/>
        <v>33600</v>
      </c>
      <c r="K28" s="57"/>
    </row>
    <row r="29" spans="1:11" ht="21" x14ac:dyDescent="0.4">
      <c r="A29" s="38">
        <v>4</v>
      </c>
      <c r="B29" s="51" t="s">
        <v>64</v>
      </c>
      <c r="C29" s="20" t="s">
        <v>112</v>
      </c>
      <c r="D29" s="20" t="s">
        <v>18</v>
      </c>
      <c r="E29" s="20" t="s">
        <v>47</v>
      </c>
      <c r="F29" s="18">
        <v>13830</v>
      </c>
      <c r="G29" s="12">
        <v>1</v>
      </c>
      <c r="H29" s="16">
        <f>G29*F29</f>
        <v>13830</v>
      </c>
      <c r="I29" s="16">
        <f>H29*0.18</f>
        <v>2489.4</v>
      </c>
      <c r="J29" s="16">
        <f t="shared" si="9"/>
        <v>16319.4</v>
      </c>
      <c r="K29" s="57" t="s">
        <v>113</v>
      </c>
    </row>
    <row r="30" spans="1:11" ht="21" x14ac:dyDescent="0.4">
      <c r="A30" s="52"/>
      <c r="B30" s="51"/>
      <c r="C30" s="20" t="s">
        <v>65</v>
      </c>
      <c r="D30" s="20" t="s">
        <v>18</v>
      </c>
      <c r="E30" s="20" t="s">
        <v>47</v>
      </c>
      <c r="F30" s="18">
        <v>14950</v>
      </c>
      <c r="G30" s="12">
        <v>1</v>
      </c>
      <c r="H30" s="16">
        <f>G30*F30</f>
        <v>14950</v>
      </c>
      <c r="I30" s="16">
        <f>H30*0.18</f>
        <v>2691</v>
      </c>
      <c r="J30" s="16">
        <f t="shared" ref="J30:J33" si="14">H30+I30</f>
        <v>17641</v>
      </c>
      <c r="K30" s="57"/>
    </row>
    <row r="31" spans="1:11" ht="21" x14ac:dyDescent="0.4">
      <c r="A31" s="39"/>
      <c r="B31" s="51"/>
      <c r="C31" s="20" t="s">
        <v>111</v>
      </c>
      <c r="D31" s="20" t="s">
        <v>18</v>
      </c>
      <c r="E31" s="20" t="s">
        <v>47</v>
      </c>
      <c r="F31" s="18">
        <v>22000</v>
      </c>
      <c r="G31" s="12">
        <v>1</v>
      </c>
      <c r="H31" s="16">
        <f>G31*F31</f>
        <v>22000</v>
      </c>
      <c r="I31" s="16">
        <f>H31*0.18</f>
        <v>3960</v>
      </c>
      <c r="J31" s="16">
        <f t="shared" si="14"/>
        <v>25960</v>
      </c>
      <c r="K31" s="57"/>
    </row>
    <row r="32" spans="1:11" ht="108" x14ac:dyDescent="0.3">
      <c r="A32" s="60">
        <v>5</v>
      </c>
      <c r="B32" s="2" t="s">
        <v>8</v>
      </c>
      <c r="C32" s="8" t="s">
        <v>9</v>
      </c>
      <c r="D32" s="9" t="s">
        <v>10</v>
      </c>
      <c r="E32" s="9" t="s">
        <v>11</v>
      </c>
      <c r="F32" s="18">
        <v>1200</v>
      </c>
      <c r="G32" s="12">
        <v>1</v>
      </c>
      <c r="H32" s="16">
        <f t="shared" ref="H32:H33" si="15">G32*F32</f>
        <v>1200</v>
      </c>
      <c r="I32" s="16">
        <f t="shared" ref="I32:I66" si="16">H32*0.18</f>
        <v>216</v>
      </c>
      <c r="J32" s="16">
        <f t="shared" si="14"/>
        <v>1416</v>
      </c>
      <c r="K32" s="58" t="s">
        <v>114</v>
      </c>
    </row>
    <row r="33" spans="1:11" ht="126" x14ac:dyDescent="0.3">
      <c r="A33" s="60">
        <v>6</v>
      </c>
      <c r="B33" s="21" t="s">
        <v>12</v>
      </c>
      <c r="C33" s="8" t="s">
        <v>13</v>
      </c>
      <c r="D33" s="9" t="s">
        <v>10</v>
      </c>
      <c r="E33" s="9" t="s">
        <v>11</v>
      </c>
      <c r="F33" s="18">
        <v>1200</v>
      </c>
      <c r="G33" s="12">
        <v>1</v>
      </c>
      <c r="H33" s="16">
        <f t="shared" si="15"/>
        <v>1200</v>
      </c>
      <c r="I33" s="16">
        <f t="shared" si="16"/>
        <v>216</v>
      </c>
      <c r="J33" s="16">
        <f t="shared" si="14"/>
        <v>1416</v>
      </c>
      <c r="K33" s="58" t="s">
        <v>114</v>
      </c>
    </row>
    <row r="34" spans="1:11" ht="36" x14ac:dyDescent="0.3">
      <c r="A34" s="61">
        <v>7</v>
      </c>
      <c r="B34" s="2" t="s">
        <v>115</v>
      </c>
      <c r="C34" s="8" t="s">
        <v>116</v>
      </c>
      <c r="D34" s="9" t="s">
        <v>117</v>
      </c>
      <c r="E34" s="9" t="s">
        <v>11</v>
      </c>
      <c r="F34" s="18">
        <v>1100</v>
      </c>
      <c r="G34" s="12">
        <v>2</v>
      </c>
      <c r="H34" s="16">
        <f t="shared" ref="H34:H35" si="17">G34*F34</f>
        <v>2200</v>
      </c>
      <c r="I34" s="16">
        <f t="shared" si="16"/>
        <v>396</v>
      </c>
      <c r="J34" s="16">
        <f t="shared" ref="J34:J35" si="18">H34+I34</f>
        <v>2596</v>
      </c>
      <c r="K34" s="59" t="s">
        <v>118</v>
      </c>
    </row>
    <row r="35" spans="1:11" ht="54" x14ac:dyDescent="0.3">
      <c r="A35" s="62">
        <v>8</v>
      </c>
      <c r="B35" s="63" t="s">
        <v>119</v>
      </c>
      <c r="C35" s="3" t="s">
        <v>15</v>
      </c>
      <c r="D35" s="9" t="s">
        <v>10</v>
      </c>
      <c r="E35" s="4" t="s">
        <v>16</v>
      </c>
      <c r="F35" s="18">
        <v>56</v>
      </c>
      <c r="G35" s="13">
        <v>1</v>
      </c>
      <c r="H35" s="16">
        <f t="shared" si="17"/>
        <v>56</v>
      </c>
      <c r="I35" s="16">
        <f t="shared" si="16"/>
        <v>10.08</v>
      </c>
      <c r="J35" s="16">
        <f t="shared" si="18"/>
        <v>66.08</v>
      </c>
    </row>
    <row r="36" spans="1:11" ht="54" x14ac:dyDescent="0.3">
      <c r="A36" s="62"/>
      <c r="B36" s="63"/>
      <c r="C36" s="3" t="s">
        <v>15</v>
      </c>
      <c r="D36" s="9" t="s">
        <v>105</v>
      </c>
      <c r="E36" s="4" t="s">
        <v>16</v>
      </c>
      <c r="F36" s="18">
        <v>59</v>
      </c>
      <c r="G36" s="13">
        <v>1</v>
      </c>
      <c r="H36" s="16">
        <f t="shared" ref="H36" si="19">G36*F36</f>
        <v>59</v>
      </c>
      <c r="I36" s="16">
        <f t="shared" si="16"/>
        <v>10.62</v>
      </c>
      <c r="J36" s="16">
        <f t="shared" ref="J36" si="20">H36+I36</f>
        <v>69.62</v>
      </c>
    </row>
    <row r="37" spans="1:11" ht="54" x14ac:dyDescent="0.3">
      <c r="A37" s="62"/>
      <c r="B37" s="63"/>
      <c r="C37" s="3" t="s">
        <v>15</v>
      </c>
      <c r="D37" s="9" t="s">
        <v>120</v>
      </c>
      <c r="E37" s="4" t="s">
        <v>16</v>
      </c>
      <c r="F37" s="18">
        <v>51</v>
      </c>
      <c r="G37" s="13">
        <v>1</v>
      </c>
      <c r="H37" s="16">
        <f t="shared" ref="H37:H43" si="21">G37*F37</f>
        <v>51</v>
      </c>
      <c r="I37" s="16">
        <f t="shared" si="16"/>
        <v>9.18</v>
      </c>
      <c r="J37" s="16">
        <f t="shared" ref="J37:J43" si="22">H37+I37</f>
        <v>60.18</v>
      </c>
    </row>
    <row r="38" spans="1:11" ht="54" x14ac:dyDescent="0.3">
      <c r="A38" s="62"/>
      <c r="B38" s="63"/>
      <c r="C38" s="3" t="s">
        <v>15</v>
      </c>
      <c r="D38" s="9" t="s">
        <v>117</v>
      </c>
      <c r="E38" s="4" t="s">
        <v>16</v>
      </c>
      <c r="F38" s="18">
        <v>50</v>
      </c>
      <c r="G38" s="13">
        <v>1</v>
      </c>
      <c r="H38" s="16">
        <f t="shared" si="21"/>
        <v>50</v>
      </c>
      <c r="I38" s="16">
        <f t="shared" si="16"/>
        <v>9</v>
      </c>
      <c r="J38" s="16">
        <f t="shared" si="22"/>
        <v>59</v>
      </c>
    </row>
    <row r="39" spans="1:11" ht="21" x14ac:dyDescent="0.3">
      <c r="A39" s="62">
        <v>9</v>
      </c>
      <c r="B39" s="63" t="s">
        <v>121</v>
      </c>
      <c r="C39" s="8" t="s">
        <v>21</v>
      </c>
      <c r="D39" s="9" t="s">
        <v>10</v>
      </c>
      <c r="E39" s="4" t="s">
        <v>16</v>
      </c>
      <c r="F39" s="18">
        <v>180</v>
      </c>
      <c r="G39" s="13">
        <v>1</v>
      </c>
      <c r="H39" s="16">
        <f t="shared" si="21"/>
        <v>180</v>
      </c>
      <c r="I39" s="16">
        <f t="shared" si="16"/>
        <v>32.4</v>
      </c>
      <c r="J39" s="16">
        <f t="shared" si="22"/>
        <v>212.4</v>
      </c>
    </row>
    <row r="40" spans="1:11" ht="21" x14ac:dyDescent="0.3">
      <c r="A40" s="62"/>
      <c r="B40" s="63"/>
      <c r="C40" s="8" t="s">
        <v>21</v>
      </c>
      <c r="D40" s="9" t="s">
        <v>105</v>
      </c>
      <c r="E40" s="4" t="s">
        <v>16</v>
      </c>
      <c r="F40" s="18">
        <v>189</v>
      </c>
      <c r="G40" s="13">
        <v>1</v>
      </c>
      <c r="H40" s="16">
        <f t="shared" ref="H40:H42" si="23">G40*F40</f>
        <v>189</v>
      </c>
      <c r="I40" s="16">
        <f t="shared" si="16"/>
        <v>34.019999999999996</v>
      </c>
      <c r="J40" s="16">
        <f t="shared" ref="J40:J42" si="24">H40+I40</f>
        <v>223.01999999999998</v>
      </c>
    </row>
    <row r="41" spans="1:11" ht="21" x14ac:dyDescent="0.3">
      <c r="A41" s="62"/>
      <c r="B41" s="63"/>
      <c r="C41" s="8" t="s">
        <v>21</v>
      </c>
      <c r="D41" s="9" t="s">
        <v>120</v>
      </c>
      <c r="E41" s="4" t="s">
        <v>16</v>
      </c>
      <c r="F41" s="18">
        <v>171</v>
      </c>
      <c r="G41" s="13">
        <v>1</v>
      </c>
      <c r="H41" s="16">
        <f t="shared" si="23"/>
        <v>171</v>
      </c>
      <c r="I41" s="16">
        <f t="shared" si="16"/>
        <v>30.779999999999998</v>
      </c>
      <c r="J41" s="16">
        <f t="shared" si="24"/>
        <v>201.78</v>
      </c>
    </row>
    <row r="42" spans="1:11" ht="21" x14ac:dyDescent="0.3">
      <c r="A42" s="62"/>
      <c r="B42" s="63"/>
      <c r="C42" s="8" t="s">
        <v>21</v>
      </c>
      <c r="D42" s="9" t="s">
        <v>117</v>
      </c>
      <c r="E42" s="4" t="s">
        <v>16</v>
      </c>
      <c r="F42" s="18">
        <v>165</v>
      </c>
      <c r="G42" s="13">
        <v>1</v>
      </c>
      <c r="H42" s="16">
        <f t="shared" si="23"/>
        <v>165</v>
      </c>
      <c r="I42" s="16">
        <f t="shared" si="16"/>
        <v>29.7</v>
      </c>
      <c r="J42" s="16">
        <f t="shared" si="24"/>
        <v>194.7</v>
      </c>
    </row>
    <row r="43" spans="1:11" ht="21" x14ac:dyDescent="0.3">
      <c r="A43" s="62"/>
      <c r="B43" s="63"/>
      <c r="C43" s="8" t="s">
        <v>54</v>
      </c>
      <c r="D43" s="9" t="s">
        <v>10</v>
      </c>
      <c r="E43" s="4" t="s">
        <v>16</v>
      </c>
      <c r="F43" s="18">
        <v>120</v>
      </c>
      <c r="G43" s="13">
        <v>1</v>
      </c>
      <c r="H43" s="16">
        <f t="shared" si="21"/>
        <v>120</v>
      </c>
      <c r="I43" s="16">
        <f t="shared" si="16"/>
        <v>21.599999999999998</v>
      </c>
      <c r="J43" s="16">
        <f t="shared" si="22"/>
        <v>141.6</v>
      </c>
    </row>
    <row r="44" spans="1:11" ht="21" x14ac:dyDescent="0.3">
      <c r="A44" s="62"/>
      <c r="B44" s="63"/>
      <c r="C44" s="8" t="s">
        <v>54</v>
      </c>
      <c r="D44" s="9" t="s">
        <v>105</v>
      </c>
      <c r="E44" s="4" t="s">
        <v>16</v>
      </c>
      <c r="F44" s="18">
        <v>121</v>
      </c>
      <c r="G44" s="13">
        <v>1</v>
      </c>
      <c r="H44" s="16">
        <f t="shared" ref="H44:H46" si="25">G44*F44</f>
        <v>121</v>
      </c>
      <c r="I44" s="16">
        <f t="shared" si="16"/>
        <v>21.779999999999998</v>
      </c>
      <c r="J44" s="16">
        <f t="shared" ref="J44:J66" si="26">H44+I44</f>
        <v>142.78</v>
      </c>
    </row>
    <row r="45" spans="1:11" ht="21" x14ac:dyDescent="0.3">
      <c r="A45" s="62"/>
      <c r="B45" s="63"/>
      <c r="C45" s="8" t="s">
        <v>54</v>
      </c>
      <c r="D45" s="9" t="s">
        <v>120</v>
      </c>
      <c r="E45" s="4" t="s">
        <v>16</v>
      </c>
      <c r="F45" s="18">
        <v>116</v>
      </c>
      <c r="G45" s="13">
        <v>1</v>
      </c>
      <c r="H45" s="16">
        <f t="shared" si="25"/>
        <v>116</v>
      </c>
      <c r="I45" s="16">
        <f t="shared" si="16"/>
        <v>20.88</v>
      </c>
      <c r="J45" s="16">
        <f t="shared" si="26"/>
        <v>136.88</v>
      </c>
    </row>
    <row r="46" spans="1:11" ht="21" x14ac:dyDescent="0.3">
      <c r="A46" s="62"/>
      <c r="B46" s="63"/>
      <c r="C46" s="8" t="s">
        <v>54</v>
      </c>
      <c r="D46" s="9" t="s">
        <v>117</v>
      </c>
      <c r="E46" s="4" t="s">
        <v>16</v>
      </c>
      <c r="F46" s="18">
        <v>114</v>
      </c>
      <c r="G46" s="13">
        <v>1</v>
      </c>
      <c r="H46" s="16">
        <f t="shared" si="25"/>
        <v>114</v>
      </c>
      <c r="I46" s="16">
        <f t="shared" si="16"/>
        <v>20.52</v>
      </c>
      <c r="J46" s="16">
        <f t="shared" si="26"/>
        <v>134.52000000000001</v>
      </c>
    </row>
    <row r="47" spans="1:11" ht="36" x14ac:dyDescent="0.3">
      <c r="A47" s="62">
        <v>10</v>
      </c>
      <c r="B47" s="31" t="s">
        <v>24</v>
      </c>
      <c r="C47" s="8" t="s">
        <v>25</v>
      </c>
      <c r="D47" s="9" t="s">
        <v>26</v>
      </c>
      <c r="E47" s="4" t="s">
        <v>11</v>
      </c>
      <c r="F47" s="18">
        <v>200</v>
      </c>
      <c r="G47" s="13">
        <v>3</v>
      </c>
      <c r="H47" s="16">
        <f>G47*F47</f>
        <v>600</v>
      </c>
      <c r="I47" s="16">
        <f t="shared" si="16"/>
        <v>108</v>
      </c>
      <c r="J47" s="16">
        <f t="shared" si="26"/>
        <v>708</v>
      </c>
      <c r="K47" s="64" t="s">
        <v>123</v>
      </c>
    </row>
    <row r="48" spans="1:11" ht="21" x14ac:dyDescent="0.3">
      <c r="A48" s="62"/>
      <c r="B48" s="31"/>
      <c r="C48" s="8" t="s">
        <v>81</v>
      </c>
      <c r="D48" s="9" t="s">
        <v>26</v>
      </c>
      <c r="E48" s="4" t="s">
        <v>47</v>
      </c>
      <c r="F48" s="18">
        <v>200</v>
      </c>
      <c r="G48" s="13">
        <v>3</v>
      </c>
      <c r="H48" s="16">
        <f>G48*F48</f>
        <v>600</v>
      </c>
      <c r="I48" s="16">
        <f t="shared" si="16"/>
        <v>108</v>
      </c>
      <c r="J48" s="16">
        <f t="shared" si="26"/>
        <v>708</v>
      </c>
      <c r="K48" s="65"/>
    </row>
    <row r="49" spans="1:11" ht="21" x14ac:dyDescent="0.3">
      <c r="A49" s="62"/>
      <c r="B49" s="31"/>
      <c r="C49" s="8" t="s">
        <v>122</v>
      </c>
      <c r="D49" s="9" t="s">
        <v>26</v>
      </c>
      <c r="E49" s="4" t="s">
        <v>47</v>
      </c>
      <c r="F49" s="18">
        <v>200</v>
      </c>
      <c r="G49" s="13">
        <v>1</v>
      </c>
      <c r="H49" s="16">
        <f>G49*F49</f>
        <v>200</v>
      </c>
      <c r="I49" s="16">
        <f t="shared" si="16"/>
        <v>36</v>
      </c>
      <c r="J49" s="16">
        <f t="shared" si="26"/>
        <v>236</v>
      </c>
      <c r="K49" s="65"/>
    </row>
    <row r="50" spans="1:11" ht="21" x14ac:dyDescent="0.3">
      <c r="A50" s="62"/>
      <c r="B50" s="31"/>
      <c r="C50" s="8" t="s">
        <v>27</v>
      </c>
      <c r="D50" s="9" t="s">
        <v>28</v>
      </c>
      <c r="E50" s="4" t="s">
        <v>11</v>
      </c>
      <c r="F50" s="18">
        <v>145</v>
      </c>
      <c r="G50" s="13">
        <v>2</v>
      </c>
      <c r="H50" s="16">
        <f t="shared" ref="H50:H66" si="27">G50*F50</f>
        <v>290</v>
      </c>
      <c r="I50" s="16">
        <f t="shared" si="16"/>
        <v>52.199999999999996</v>
      </c>
      <c r="J50" s="16">
        <f t="shared" si="26"/>
        <v>342.2</v>
      </c>
      <c r="K50" s="66"/>
    </row>
    <row r="51" spans="1:11" ht="36" x14ac:dyDescent="0.3">
      <c r="A51" s="61">
        <v>11</v>
      </c>
      <c r="B51" s="7" t="s">
        <v>29</v>
      </c>
      <c r="C51" s="8" t="s">
        <v>30</v>
      </c>
      <c r="D51" s="9" t="s">
        <v>26</v>
      </c>
      <c r="E51" s="4" t="s">
        <v>11</v>
      </c>
      <c r="F51" s="18">
        <v>340</v>
      </c>
      <c r="G51" s="12">
        <v>1</v>
      </c>
      <c r="H51" s="16">
        <f t="shared" si="27"/>
        <v>340</v>
      </c>
      <c r="I51" s="16">
        <f t="shared" si="16"/>
        <v>61.199999999999996</v>
      </c>
      <c r="J51" s="16">
        <f t="shared" si="26"/>
        <v>401.2</v>
      </c>
    </row>
    <row r="52" spans="1:11" ht="54" x14ac:dyDescent="0.3">
      <c r="A52" s="68">
        <v>12</v>
      </c>
      <c r="B52" s="40" t="s">
        <v>31</v>
      </c>
      <c r="C52" s="8" t="s">
        <v>32</v>
      </c>
      <c r="D52" s="9" t="s">
        <v>18</v>
      </c>
      <c r="E52" s="10" t="s">
        <v>11</v>
      </c>
      <c r="F52" s="18">
        <v>3.95</v>
      </c>
      <c r="G52" s="14">
        <v>1</v>
      </c>
      <c r="H52" s="16">
        <f t="shared" si="27"/>
        <v>3.95</v>
      </c>
      <c r="I52" s="16">
        <f t="shared" si="16"/>
        <v>0.71099999999999997</v>
      </c>
      <c r="J52" s="16">
        <f t="shared" si="26"/>
        <v>4.6610000000000005</v>
      </c>
    </row>
    <row r="53" spans="1:11" ht="21" x14ac:dyDescent="0.3">
      <c r="A53" s="69"/>
      <c r="B53" s="67"/>
      <c r="C53" s="8" t="s">
        <v>33</v>
      </c>
      <c r="D53" s="9" t="s">
        <v>34</v>
      </c>
      <c r="E53" s="10" t="s">
        <v>11</v>
      </c>
      <c r="F53" s="18">
        <v>4</v>
      </c>
      <c r="G53" s="14">
        <v>1</v>
      </c>
      <c r="H53" s="16">
        <f t="shared" si="27"/>
        <v>4</v>
      </c>
      <c r="I53" s="16">
        <f t="shared" si="16"/>
        <v>0.72</v>
      </c>
      <c r="J53" s="16">
        <f t="shared" si="26"/>
        <v>4.72</v>
      </c>
    </row>
    <row r="54" spans="1:11" ht="21" x14ac:dyDescent="0.3">
      <c r="A54" s="69"/>
      <c r="B54" s="67"/>
      <c r="C54" s="8" t="s">
        <v>35</v>
      </c>
      <c r="D54" s="9" t="s">
        <v>34</v>
      </c>
      <c r="E54" s="9" t="s">
        <v>11</v>
      </c>
      <c r="F54" s="18">
        <v>4</v>
      </c>
      <c r="G54" s="14">
        <v>1</v>
      </c>
      <c r="H54" s="16">
        <f t="shared" si="27"/>
        <v>4</v>
      </c>
      <c r="I54" s="16">
        <f t="shared" si="16"/>
        <v>0.72</v>
      </c>
      <c r="J54" s="16">
        <f t="shared" si="26"/>
        <v>4.72</v>
      </c>
    </row>
    <row r="55" spans="1:11" ht="36" x14ac:dyDescent="0.3">
      <c r="A55" s="69"/>
      <c r="B55" s="67"/>
      <c r="C55" s="15" t="s">
        <v>36</v>
      </c>
      <c r="D55" s="9" t="s">
        <v>34</v>
      </c>
      <c r="E55" s="10" t="s">
        <v>11</v>
      </c>
      <c r="F55" s="18">
        <v>6</v>
      </c>
      <c r="G55" s="14">
        <v>1</v>
      </c>
      <c r="H55" s="16">
        <f t="shared" si="27"/>
        <v>6</v>
      </c>
      <c r="I55" s="16">
        <f t="shared" si="16"/>
        <v>1.08</v>
      </c>
      <c r="J55" s="16">
        <f t="shared" si="26"/>
        <v>7.08</v>
      </c>
    </row>
    <row r="56" spans="1:11" ht="21" x14ac:dyDescent="0.3">
      <c r="A56" s="69"/>
      <c r="B56" s="67"/>
      <c r="C56" s="15" t="s">
        <v>55</v>
      </c>
      <c r="D56" s="9" t="s">
        <v>34</v>
      </c>
      <c r="E56" s="10" t="s">
        <v>11</v>
      </c>
      <c r="F56" s="18">
        <v>6</v>
      </c>
      <c r="G56" s="14">
        <v>1</v>
      </c>
      <c r="H56" s="16">
        <f t="shared" si="27"/>
        <v>6</v>
      </c>
      <c r="I56" s="16">
        <f t="shared" si="16"/>
        <v>1.08</v>
      </c>
      <c r="J56" s="16">
        <f t="shared" si="26"/>
        <v>7.08</v>
      </c>
    </row>
    <row r="57" spans="1:11" ht="36" x14ac:dyDescent="0.3">
      <c r="A57" s="69"/>
      <c r="B57" s="41"/>
      <c r="C57" s="15" t="s">
        <v>37</v>
      </c>
      <c r="D57" s="9" t="s">
        <v>34</v>
      </c>
      <c r="E57" s="10" t="s">
        <v>11</v>
      </c>
      <c r="F57" s="18">
        <v>6</v>
      </c>
      <c r="G57" s="14">
        <v>1</v>
      </c>
      <c r="H57" s="16">
        <f t="shared" si="27"/>
        <v>6</v>
      </c>
      <c r="I57" s="16">
        <f t="shared" si="16"/>
        <v>1.08</v>
      </c>
      <c r="J57" s="16">
        <f t="shared" si="26"/>
        <v>7.08</v>
      </c>
    </row>
    <row r="58" spans="1:11" ht="21" x14ac:dyDescent="0.3">
      <c r="A58">
        <v>13</v>
      </c>
      <c r="B58" s="5" t="s">
        <v>38</v>
      </c>
      <c r="C58" s="6" t="s">
        <v>39</v>
      </c>
      <c r="D58" s="9" t="s">
        <v>34</v>
      </c>
      <c r="E58" s="10" t="s">
        <v>40</v>
      </c>
      <c r="F58" s="18">
        <v>80</v>
      </c>
      <c r="G58" s="14">
        <v>1</v>
      </c>
      <c r="H58" s="16">
        <f t="shared" si="27"/>
        <v>80</v>
      </c>
      <c r="I58" s="16">
        <f t="shared" si="16"/>
        <v>14.399999999999999</v>
      </c>
      <c r="J58" s="16">
        <f t="shared" si="26"/>
        <v>94.4</v>
      </c>
    </row>
    <row r="59" spans="1:11" ht="21" x14ac:dyDescent="0.3">
      <c r="A59">
        <v>14</v>
      </c>
      <c r="B59" s="5" t="s">
        <v>41</v>
      </c>
      <c r="C59" s="6" t="s">
        <v>42</v>
      </c>
      <c r="D59" s="9" t="s">
        <v>34</v>
      </c>
      <c r="E59" s="10" t="s">
        <v>16</v>
      </c>
      <c r="F59" s="18">
        <v>80</v>
      </c>
      <c r="G59" s="14">
        <v>1</v>
      </c>
      <c r="H59" s="16">
        <f t="shared" si="27"/>
        <v>80</v>
      </c>
      <c r="I59" s="16">
        <f t="shared" si="16"/>
        <v>14.399999999999999</v>
      </c>
      <c r="J59" s="16">
        <f t="shared" si="26"/>
        <v>94.4</v>
      </c>
    </row>
    <row r="60" spans="1:11" ht="34.799999999999997" x14ac:dyDescent="0.3">
      <c r="A60">
        <v>15</v>
      </c>
      <c r="B60" s="5" t="s">
        <v>43</v>
      </c>
      <c r="C60" s="6" t="s">
        <v>44</v>
      </c>
      <c r="D60" s="9" t="s">
        <v>117</v>
      </c>
      <c r="E60" s="10" t="s">
        <v>11</v>
      </c>
      <c r="F60" s="18">
        <v>10</v>
      </c>
      <c r="G60" s="14">
        <v>1</v>
      </c>
      <c r="H60" s="16">
        <f t="shared" si="27"/>
        <v>10</v>
      </c>
      <c r="I60" s="16">
        <f t="shared" si="16"/>
        <v>1.7999999999999998</v>
      </c>
      <c r="J60" s="16">
        <f t="shared" si="26"/>
        <v>11.8</v>
      </c>
    </row>
    <row r="61" spans="1:11" ht="21" x14ac:dyDescent="0.3">
      <c r="A61" s="72">
        <v>16</v>
      </c>
      <c r="B61" s="26" t="s">
        <v>56</v>
      </c>
      <c r="C61" s="6" t="s">
        <v>46</v>
      </c>
      <c r="D61" s="9" t="s">
        <v>18</v>
      </c>
      <c r="E61" s="10" t="s">
        <v>47</v>
      </c>
      <c r="F61" s="18">
        <v>3.1</v>
      </c>
      <c r="G61" s="12">
        <v>1</v>
      </c>
      <c r="H61" s="16">
        <f t="shared" si="27"/>
        <v>3.1</v>
      </c>
      <c r="I61" s="16">
        <f t="shared" si="16"/>
        <v>0.55799999999999994</v>
      </c>
      <c r="J61" s="16">
        <f t="shared" si="26"/>
        <v>3.6579999999999999</v>
      </c>
    </row>
    <row r="62" spans="1:11" ht="36" x14ac:dyDescent="0.3">
      <c r="A62" s="72"/>
      <c r="B62" s="27"/>
      <c r="C62" s="6" t="s">
        <v>48</v>
      </c>
      <c r="D62" s="9" t="s">
        <v>18</v>
      </c>
      <c r="E62" s="10" t="s">
        <v>47</v>
      </c>
      <c r="F62" s="18">
        <v>3.85</v>
      </c>
      <c r="G62" s="12">
        <v>1</v>
      </c>
      <c r="H62" s="16">
        <f t="shared" si="27"/>
        <v>3.85</v>
      </c>
      <c r="I62" s="16">
        <f t="shared" si="16"/>
        <v>0.69299999999999995</v>
      </c>
      <c r="J62" s="16">
        <f t="shared" si="26"/>
        <v>4.5430000000000001</v>
      </c>
    </row>
    <row r="63" spans="1:11" ht="21" x14ac:dyDescent="0.3">
      <c r="A63" s="72"/>
      <c r="B63" s="28"/>
      <c r="C63" s="6" t="s">
        <v>49</v>
      </c>
      <c r="D63" s="9" t="s">
        <v>34</v>
      </c>
      <c r="E63" s="10" t="s">
        <v>50</v>
      </c>
      <c r="F63" s="18">
        <f>50*2.4</f>
        <v>120</v>
      </c>
      <c r="G63" s="12">
        <v>1</v>
      </c>
      <c r="H63" s="16">
        <f t="shared" si="27"/>
        <v>120</v>
      </c>
      <c r="I63" s="16">
        <f t="shared" si="16"/>
        <v>21.599999999999998</v>
      </c>
      <c r="J63" s="16">
        <f t="shared" si="26"/>
        <v>141.6</v>
      </c>
    </row>
    <row r="64" spans="1:11" ht="21" x14ac:dyDescent="0.3">
      <c r="A64">
        <v>17</v>
      </c>
      <c r="B64" s="26" t="s">
        <v>66</v>
      </c>
      <c r="C64" s="6" t="s">
        <v>67</v>
      </c>
      <c r="D64" s="9" t="s">
        <v>18</v>
      </c>
      <c r="E64" s="10" t="s">
        <v>11</v>
      </c>
      <c r="F64" s="18">
        <v>30</v>
      </c>
      <c r="G64" s="12">
        <v>1</v>
      </c>
      <c r="H64" s="16">
        <f t="shared" si="27"/>
        <v>30</v>
      </c>
      <c r="I64" s="16">
        <f t="shared" si="16"/>
        <v>5.3999999999999995</v>
      </c>
      <c r="J64" s="16">
        <f t="shared" si="26"/>
        <v>35.4</v>
      </c>
    </row>
    <row r="65" spans="1:10" ht="21" x14ac:dyDescent="0.3">
      <c r="A65">
        <v>18</v>
      </c>
      <c r="B65" s="28"/>
      <c r="C65" s="6" t="s">
        <v>68</v>
      </c>
      <c r="D65" s="9" t="s">
        <v>18</v>
      </c>
      <c r="E65" s="10" t="s">
        <v>69</v>
      </c>
      <c r="F65" s="18">
        <v>5</v>
      </c>
      <c r="G65" s="12">
        <v>1</v>
      </c>
      <c r="H65" s="16">
        <f t="shared" si="27"/>
        <v>5</v>
      </c>
      <c r="I65" s="16">
        <f t="shared" si="16"/>
        <v>0.89999999999999991</v>
      </c>
      <c r="J65" s="16">
        <f t="shared" si="26"/>
        <v>5.9</v>
      </c>
    </row>
    <row r="66" spans="1:10" ht="54" x14ac:dyDescent="0.3">
      <c r="A66">
        <v>19</v>
      </c>
      <c r="B66" s="5" t="s">
        <v>51</v>
      </c>
      <c r="C66" s="6" t="s">
        <v>52</v>
      </c>
      <c r="D66" s="9" t="s">
        <v>18</v>
      </c>
      <c r="E66" s="10" t="s">
        <v>69</v>
      </c>
      <c r="F66" s="18">
        <v>30</v>
      </c>
      <c r="G66" s="12">
        <v>1</v>
      </c>
      <c r="H66" s="16">
        <f t="shared" si="27"/>
        <v>30</v>
      </c>
      <c r="I66" s="16">
        <f t="shared" si="16"/>
        <v>5.3999999999999995</v>
      </c>
      <c r="J66" s="16">
        <f t="shared" si="26"/>
        <v>35.4</v>
      </c>
    </row>
    <row r="67" spans="1:10" ht="34.799999999999997" x14ac:dyDescent="0.3">
      <c r="A67">
        <v>20</v>
      </c>
      <c r="B67" s="5" t="s">
        <v>70</v>
      </c>
      <c r="C67" s="6" t="s">
        <v>71</v>
      </c>
      <c r="D67" s="9" t="s">
        <v>72</v>
      </c>
      <c r="E67" s="10" t="s">
        <v>69</v>
      </c>
      <c r="F67" s="70" t="s">
        <v>124</v>
      </c>
      <c r="G67" s="71"/>
      <c r="H67" s="71"/>
      <c r="I67" s="71"/>
      <c r="J67" s="71"/>
    </row>
    <row r="68" spans="1:10" ht="18" x14ac:dyDescent="0.3">
      <c r="A68">
        <v>21</v>
      </c>
      <c r="B68" s="5" t="s">
        <v>73</v>
      </c>
      <c r="C68" s="6" t="s">
        <v>74</v>
      </c>
      <c r="D68" s="9" t="s">
        <v>75</v>
      </c>
      <c r="E68" s="10" t="s">
        <v>69</v>
      </c>
      <c r="F68" s="70" t="s">
        <v>124</v>
      </c>
      <c r="G68" s="71"/>
      <c r="H68" s="71"/>
      <c r="I68" s="71"/>
      <c r="J68" s="71"/>
    </row>
    <row r="69" spans="1:10" ht="18" x14ac:dyDescent="0.3">
      <c r="A69">
        <v>22</v>
      </c>
      <c r="B69" s="5" t="s">
        <v>76</v>
      </c>
      <c r="C69" s="6" t="s">
        <v>84</v>
      </c>
      <c r="D69" s="9" t="s">
        <v>77</v>
      </c>
      <c r="E69" s="10" t="s">
        <v>47</v>
      </c>
      <c r="F69" s="70" t="s">
        <v>124</v>
      </c>
      <c r="G69" s="71"/>
      <c r="H69" s="71"/>
      <c r="I69" s="71"/>
      <c r="J69" s="71"/>
    </row>
    <row r="70" spans="1:10" x14ac:dyDescent="0.3">
      <c r="A70" s="73">
        <v>23</v>
      </c>
      <c r="B70" s="74" t="s">
        <v>125</v>
      </c>
      <c r="C70" s="74"/>
      <c r="D70" s="74"/>
      <c r="E70" s="74"/>
      <c r="F70" s="74"/>
      <c r="G70" s="74"/>
      <c r="H70" s="74"/>
      <c r="I70" s="74"/>
      <c r="J70" s="74"/>
    </row>
    <row r="71" spans="1:10" x14ac:dyDescent="0.3">
      <c r="A71" s="73"/>
      <c r="B71" s="74"/>
      <c r="C71" s="74"/>
      <c r="D71" s="74"/>
      <c r="E71" s="74"/>
      <c r="F71" s="74"/>
      <c r="G71" s="74"/>
      <c r="H71" s="74"/>
      <c r="I71" s="74"/>
      <c r="J71" s="74"/>
    </row>
  </sheetData>
  <mergeCells count="40">
    <mergeCell ref="B70:J71"/>
    <mergeCell ref="A70:A71"/>
    <mergeCell ref="B61:B63"/>
    <mergeCell ref="B64:B65"/>
    <mergeCell ref="F67:J67"/>
    <mergeCell ref="F68:J68"/>
    <mergeCell ref="F69:J69"/>
    <mergeCell ref="A61:A63"/>
    <mergeCell ref="B47:B50"/>
    <mergeCell ref="A47:A50"/>
    <mergeCell ref="K47:K50"/>
    <mergeCell ref="B52:B57"/>
    <mergeCell ref="A52:A57"/>
    <mergeCell ref="A39:A46"/>
    <mergeCell ref="B39:B46"/>
    <mergeCell ref="B29:B31"/>
    <mergeCell ref="A29:A31"/>
    <mergeCell ref="K29:K31"/>
    <mergeCell ref="B35:B38"/>
    <mergeCell ref="A35:A38"/>
    <mergeCell ref="K1:K2"/>
    <mergeCell ref="K3:K10"/>
    <mergeCell ref="B11:B19"/>
    <mergeCell ref="K11:K19"/>
    <mergeCell ref="A11:A19"/>
    <mergeCell ref="A20:A28"/>
    <mergeCell ref="B20:B28"/>
    <mergeCell ref="K20:K28"/>
    <mergeCell ref="G1:G2"/>
    <mergeCell ref="H1:H2"/>
    <mergeCell ref="I1:I2"/>
    <mergeCell ref="J1:J2"/>
    <mergeCell ref="A3:A10"/>
    <mergeCell ref="B3:B10"/>
    <mergeCell ref="A1:A2"/>
    <mergeCell ref="B1:B2"/>
    <mergeCell ref="C1:C2"/>
    <mergeCell ref="D1:D2"/>
    <mergeCell ref="E1:E2"/>
    <mergeCell ref="F1:F2"/>
  </mergeCells>
  <dataValidations count="1">
    <dataValidation type="list" allowBlank="1" showErrorMessage="1" sqref="B47:B49 B51" xr:uid="{C727E5B3-5BFA-4FA6-8FFD-6A65D183C7E5}">
      <formula1>"DC Cable,AC Cables,Earthing Cables,RMU,Earthing,LA"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Example </vt:lpstr>
      <vt:lpstr>Bill of materials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Balachandar V</dc:creator>
  <cp:keywords/>
  <dc:description/>
  <cp:lastModifiedBy>Mahesh Naik</cp:lastModifiedBy>
  <cp:revision/>
  <dcterms:created xsi:type="dcterms:W3CDTF">2020-11-02T06:49:14Z</dcterms:created>
  <dcterms:modified xsi:type="dcterms:W3CDTF">2026-09-09T06:56:59Z</dcterms:modified>
  <cp:category/>
  <cp:contentStatus/>
</cp:coreProperties>
</file>